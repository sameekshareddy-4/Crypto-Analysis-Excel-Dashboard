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6378e04df5c17cd3/Desktop/Internships/"/>
    </mc:Choice>
  </mc:AlternateContent>
  <xr:revisionPtr revIDLastSave="0" documentId="8_{0B69DE59-81AA-44EE-A862-CAC8C450964F}" xr6:coauthVersionLast="47" xr6:coauthVersionMax="47" xr10:uidLastSave="{00000000-0000-0000-0000-000000000000}"/>
  <bookViews>
    <workbookView xWindow="-110" yWindow="-110" windowWidth="19420" windowHeight="10300" xr2:uid="{00000000-000D-0000-FFFF-FFFF00000000}"/>
  </bookViews>
  <sheets>
    <sheet name="raw data" sheetId="1" r:id="rId1"/>
    <sheet name="task1_dashboard" sheetId="2" r:id="rId2"/>
    <sheet name="Task2_Dashboard" sheetId="5" r:id="rId3"/>
    <sheet name="Task 3_Liquidity" sheetId="7" r:id="rId4"/>
    <sheet name="Task4_Price_Analysis" sheetId="9" r:id="rId5"/>
    <sheet name="Task5_Historical_Insights" sheetId="10" r:id="rId6"/>
    <sheet name="Task6_LowBudget_Insights" sheetId="11" r:id="rId7"/>
    <sheet name="Task3 table " sheetId="6" r:id="rId8"/>
  </sheets>
  <definedNames>
    <definedName name="Slicer_price_range">#N/A</definedName>
    <definedName name="Slicer_price_range1">#N/A</definedName>
    <definedName name="Slicer_Range">#N/A</definedName>
    <definedName name="Slicer_task5_range">#N/A</definedName>
  </definedNames>
  <calcPr calcId="191029"/>
  <pivotCaches>
    <pivotCache cacheId="36" r:id="rId9"/>
    <pivotCache cacheId="8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R2" i="1"/>
  <c r="R3" i="1"/>
  <c r="R4" i="1"/>
  <c r="R5" i="1"/>
  <c r="R11" i="1"/>
  <c r="R12" i="1"/>
  <c r="R13" i="1"/>
  <c r="R14" i="1"/>
  <c r="R15" i="1"/>
  <c r="R16" i="1"/>
  <c r="R17" i="1"/>
  <c r="R23" i="1"/>
  <c r="R24" i="1"/>
  <c r="R25" i="1"/>
  <c r="R26" i="1"/>
  <c r="R27" i="1"/>
  <c r="R28" i="1"/>
  <c r="R29" i="1"/>
  <c r="R35" i="1"/>
  <c r="R36" i="1"/>
  <c r="R37" i="1"/>
  <c r="R38" i="1"/>
  <c r="R39" i="1"/>
  <c r="R40" i="1"/>
  <c r="R41" i="1"/>
  <c r="R47" i="1"/>
  <c r="R48" i="1"/>
  <c r="R49" i="1"/>
  <c r="R50" i="1"/>
  <c r="R51" i="1"/>
  <c r="R52" i="1"/>
  <c r="R53" i="1"/>
  <c r="R59" i="1"/>
  <c r="R60" i="1"/>
  <c r="R61" i="1"/>
  <c r="R62" i="1"/>
  <c r="R63" i="1"/>
  <c r="R64" i="1"/>
  <c r="R65" i="1"/>
  <c r="R71" i="1"/>
  <c r="R72" i="1"/>
  <c r="R73" i="1"/>
  <c r="R74" i="1"/>
  <c r="R75" i="1"/>
  <c r="R76" i="1"/>
  <c r="R77" i="1"/>
  <c r="R83" i="1"/>
  <c r="R84" i="1"/>
  <c r="R85" i="1"/>
  <c r="R86" i="1"/>
  <c r="R87" i="1"/>
  <c r="R88" i="1"/>
  <c r="R89" i="1"/>
  <c r="R95" i="1"/>
  <c r="R96" i="1"/>
  <c r="R97" i="1"/>
  <c r="R98" i="1"/>
  <c r="R99" i="1"/>
  <c r="R100" i="1"/>
  <c r="R101" i="1"/>
  <c r="R107" i="1"/>
  <c r="R108" i="1"/>
  <c r="R109" i="1"/>
  <c r="R110" i="1"/>
  <c r="R111" i="1"/>
  <c r="R112" i="1"/>
  <c r="R113" i="1"/>
  <c r="R119" i="1"/>
  <c r="R120" i="1"/>
  <c r="R121" i="1"/>
  <c r="R122" i="1"/>
  <c r="R123" i="1"/>
  <c r="R124" i="1"/>
  <c r="R125" i="1"/>
  <c r="R131" i="1"/>
  <c r="R132" i="1"/>
  <c r="R133" i="1"/>
  <c r="R134" i="1"/>
  <c r="R135" i="1"/>
  <c r="R136" i="1"/>
  <c r="R137" i="1"/>
  <c r="R143" i="1"/>
  <c r="R144" i="1"/>
  <c r="R145" i="1"/>
  <c r="R146" i="1"/>
  <c r="R147" i="1"/>
  <c r="R148" i="1"/>
  <c r="R149" i="1"/>
  <c r="R155" i="1"/>
  <c r="R156" i="1"/>
  <c r="R157" i="1"/>
  <c r="R158" i="1"/>
  <c r="R159" i="1"/>
  <c r="R160" i="1"/>
  <c r="R161" i="1"/>
  <c r="R167" i="1"/>
  <c r="R168" i="1"/>
  <c r="R169" i="1"/>
  <c r="R170" i="1"/>
  <c r="R171" i="1"/>
  <c r="R172" i="1"/>
  <c r="R173" i="1"/>
  <c r="R179" i="1"/>
  <c r="R180" i="1"/>
  <c r="R181" i="1"/>
  <c r="R182" i="1"/>
  <c r="R183" i="1"/>
  <c r="R184" i="1"/>
  <c r="R185" i="1"/>
  <c r="R191" i="1"/>
  <c r="R192" i="1"/>
  <c r="R193" i="1"/>
  <c r="R194" i="1"/>
  <c r="R195" i="1"/>
  <c r="R196" i="1"/>
  <c r="R197" i="1"/>
  <c r="B5" i="9"/>
  <c r="B4" i="9"/>
  <c r="B3" i="9"/>
  <c r="C11" i="5"/>
  <c r="B11" i="5"/>
  <c r="C12" i="5"/>
  <c r="C10" i="5"/>
  <c r="C9" i="5"/>
  <c r="C8" i="5"/>
  <c r="B9" i="5"/>
  <c r="B8" i="5"/>
  <c r="B12" i="5"/>
  <c r="B10" i="5"/>
  <c r="F6" i="11"/>
  <c r="F7" i="11"/>
  <c r="F3" i="11"/>
  <c r="F5" i="11" s="1"/>
  <c r="S155" i="1"/>
  <c r="S135" i="1"/>
  <c r="S133" i="1"/>
  <c r="S131" i="1"/>
  <c r="S48" i="1"/>
  <c r="S4" i="1"/>
  <c r="S5" i="1"/>
  <c r="S7" i="1"/>
  <c r="S9" i="1"/>
  <c r="S12" i="1"/>
  <c r="S13" i="1"/>
  <c r="S14" i="1"/>
  <c r="S16" i="1"/>
  <c r="S17" i="1"/>
  <c r="S18" i="1"/>
  <c r="S19" i="1"/>
  <c r="S21" i="1"/>
  <c r="S22" i="1"/>
  <c r="S23" i="1"/>
  <c r="S24" i="1"/>
  <c r="S25" i="1"/>
  <c r="S28" i="1"/>
  <c r="S29" i="1"/>
  <c r="S30" i="1"/>
  <c r="S31" i="1"/>
  <c r="S33" i="1"/>
  <c r="S34" i="1"/>
  <c r="S36" i="1"/>
  <c r="S37" i="1"/>
  <c r="S38" i="1"/>
  <c r="S40" i="1"/>
  <c r="S41" i="1"/>
  <c r="S44" i="1"/>
  <c r="S45" i="1"/>
  <c r="S50" i="1"/>
  <c r="S51" i="1"/>
  <c r="S52" i="1"/>
  <c r="S53" i="1"/>
  <c r="S55" i="1"/>
  <c r="S56" i="1"/>
  <c r="S59" i="1"/>
  <c r="S60" i="1"/>
  <c r="S62" i="1"/>
  <c r="S63" i="1"/>
  <c r="S66" i="1"/>
  <c r="S69" i="1"/>
  <c r="S70" i="1"/>
  <c r="S71" i="1"/>
  <c r="S72" i="1"/>
  <c r="S73" i="1"/>
  <c r="S74" i="1"/>
  <c r="S75" i="1"/>
  <c r="S76" i="1"/>
  <c r="S77" i="1"/>
  <c r="S81" i="1"/>
  <c r="S82" i="1"/>
  <c r="S83" i="1"/>
  <c r="S84" i="1"/>
  <c r="S88" i="1"/>
  <c r="S89" i="1"/>
  <c r="S92" i="1"/>
  <c r="S93" i="1"/>
  <c r="S97" i="1"/>
  <c r="S101" i="1"/>
  <c r="S104" i="1"/>
  <c r="S106" i="1"/>
  <c r="S107" i="1"/>
  <c r="S108" i="1"/>
  <c r="S112" i="1"/>
  <c r="S114" i="1"/>
  <c r="S115" i="1"/>
  <c r="S117" i="1"/>
  <c r="S120" i="1"/>
  <c r="S121" i="1"/>
  <c r="S122" i="1"/>
  <c r="S123" i="1"/>
  <c r="S125" i="1"/>
  <c r="S127" i="1"/>
  <c r="S128" i="1"/>
  <c r="S129" i="1"/>
  <c r="S130" i="1"/>
  <c r="S132" i="1"/>
  <c r="S134" i="1"/>
  <c r="S137" i="1"/>
  <c r="S140" i="1"/>
  <c r="S143" i="1"/>
  <c r="S144" i="1"/>
  <c r="S145" i="1"/>
  <c r="S146" i="1"/>
  <c r="S147" i="1"/>
  <c r="S150" i="1"/>
  <c r="S151" i="1"/>
  <c r="S158" i="1"/>
  <c r="S161" i="1"/>
  <c r="S162" i="1"/>
  <c r="S163" i="1"/>
  <c r="S164" i="1"/>
  <c r="S165" i="1"/>
  <c r="S166" i="1"/>
  <c r="S172" i="1"/>
  <c r="S173" i="1"/>
  <c r="S174" i="1"/>
  <c r="S175" i="1"/>
  <c r="S176" i="1"/>
  <c r="S177" i="1"/>
  <c r="S178" i="1"/>
  <c r="S180" i="1"/>
  <c r="S181" i="1"/>
  <c r="S184" i="1"/>
  <c r="S188" i="1"/>
  <c r="S189" i="1"/>
  <c r="S191" i="1"/>
  <c r="S192" i="1"/>
  <c r="S194" i="1"/>
  <c r="S196" i="1"/>
  <c r="S198" i="1"/>
  <c r="S199" i="1"/>
  <c r="S200" i="1"/>
  <c r="S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F2" i="1"/>
  <c r="F3" i="1"/>
  <c r="F4" i="1"/>
  <c r="Q4" i="1" s="1"/>
  <c r="F5" i="1"/>
  <c r="Q5" i="1" s="1"/>
  <c r="F6" i="1"/>
  <c r="Q6" i="1" s="1"/>
  <c r="F7" i="1"/>
  <c r="Q7" i="1" s="1"/>
  <c r="F8" i="1"/>
  <c r="Q8" i="1" s="1"/>
  <c r="F9" i="1"/>
  <c r="Q9" i="1" s="1"/>
  <c r="F10" i="1"/>
  <c r="Q10" i="1" s="1"/>
  <c r="F11" i="1"/>
  <c r="Q11" i="1" s="1"/>
  <c r="F12" i="1"/>
  <c r="Q12" i="1" s="1"/>
  <c r="F13" i="1"/>
  <c r="Q13" i="1" s="1"/>
  <c r="F14" i="1"/>
  <c r="Q14" i="1" s="1"/>
  <c r="F15" i="1"/>
  <c r="Q15" i="1" s="1"/>
  <c r="F16" i="1"/>
  <c r="Q16" i="1" s="1"/>
  <c r="F17" i="1"/>
  <c r="Q17" i="1" s="1"/>
  <c r="F18" i="1"/>
  <c r="Q18" i="1" s="1"/>
  <c r="F19" i="1"/>
  <c r="Q19" i="1" s="1"/>
  <c r="F20" i="1"/>
  <c r="Q20" i="1" s="1"/>
  <c r="F21" i="1"/>
  <c r="Q21" i="1" s="1"/>
  <c r="F22" i="1"/>
  <c r="Q22" i="1" s="1"/>
  <c r="F23" i="1"/>
  <c r="Q23" i="1" s="1"/>
  <c r="F24" i="1"/>
  <c r="Q24" i="1" s="1"/>
  <c r="F25" i="1"/>
  <c r="Q25" i="1" s="1"/>
  <c r="F26" i="1"/>
  <c r="Q26" i="1" s="1"/>
  <c r="F27" i="1"/>
  <c r="Q27" i="1" s="1"/>
  <c r="F28" i="1"/>
  <c r="Q28" i="1" s="1"/>
  <c r="F29" i="1"/>
  <c r="Q29" i="1" s="1"/>
  <c r="F30" i="1"/>
  <c r="Q30" i="1" s="1"/>
  <c r="F31" i="1"/>
  <c r="Q31" i="1" s="1"/>
  <c r="F32" i="1"/>
  <c r="Q32" i="1" s="1"/>
  <c r="F33" i="1"/>
  <c r="Q33" i="1" s="1"/>
  <c r="F34" i="1"/>
  <c r="Q34" i="1" s="1"/>
  <c r="F35" i="1"/>
  <c r="Q35" i="1" s="1"/>
  <c r="F36" i="1"/>
  <c r="Q36" i="1" s="1"/>
  <c r="F37" i="1"/>
  <c r="Q37" i="1" s="1"/>
  <c r="F38" i="1"/>
  <c r="Q38" i="1" s="1"/>
  <c r="F39" i="1"/>
  <c r="Q39" i="1" s="1"/>
  <c r="F40" i="1"/>
  <c r="Q40" i="1" s="1"/>
  <c r="F41" i="1"/>
  <c r="Q41" i="1" s="1"/>
  <c r="F42" i="1"/>
  <c r="Q42" i="1" s="1"/>
  <c r="F43" i="1"/>
  <c r="Q43" i="1" s="1"/>
  <c r="F44" i="1"/>
  <c r="Q44" i="1" s="1"/>
  <c r="F45" i="1"/>
  <c r="Q45" i="1" s="1"/>
  <c r="F46" i="1"/>
  <c r="Q46" i="1" s="1"/>
  <c r="F47" i="1"/>
  <c r="Q47" i="1" s="1"/>
  <c r="F48" i="1"/>
  <c r="Q48" i="1" s="1"/>
  <c r="F49" i="1"/>
  <c r="Q49" i="1" s="1"/>
  <c r="F50" i="1"/>
  <c r="Q50" i="1" s="1"/>
  <c r="F51" i="1"/>
  <c r="Q51" i="1" s="1"/>
  <c r="F52" i="1"/>
  <c r="Q52" i="1" s="1"/>
  <c r="F53" i="1"/>
  <c r="Q53" i="1" s="1"/>
  <c r="F54" i="1"/>
  <c r="Q54" i="1" s="1"/>
  <c r="F55" i="1"/>
  <c r="Q55" i="1" s="1"/>
  <c r="F56" i="1"/>
  <c r="Q56" i="1" s="1"/>
  <c r="F57" i="1"/>
  <c r="Q57" i="1" s="1"/>
  <c r="F58" i="1"/>
  <c r="Q58" i="1" s="1"/>
  <c r="F59" i="1"/>
  <c r="Q59" i="1" s="1"/>
  <c r="F60" i="1"/>
  <c r="Q60" i="1" s="1"/>
  <c r="F61" i="1"/>
  <c r="Q61" i="1" s="1"/>
  <c r="F62" i="1"/>
  <c r="Q62" i="1" s="1"/>
  <c r="F63" i="1"/>
  <c r="Q63" i="1" s="1"/>
  <c r="F64" i="1"/>
  <c r="Q64" i="1" s="1"/>
  <c r="F65" i="1"/>
  <c r="Q65" i="1" s="1"/>
  <c r="F66" i="1"/>
  <c r="Q66" i="1" s="1"/>
  <c r="F67" i="1"/>
  <c r="Q67" i="1" s="1"/>
  <c r="F68" i="1"/>
  <c r="Q68" i="1" s="1"/>
  <c r="F69" i="1"/>
  <c r="Q69" i="1" s="1"/>
  <c r="F70" i="1"/>
  <c r="Q70" i="1" s="1"/>
  <c r="F71" i="1"/>
  <c r="Q71" i="1" s="1"/>
  <c r="F72" i="1"/>
  <c r="Q72" i="1" s="1"/>
  <c r="F73" i="1"/>
  <c r="Q73" i="1" s="1"/>
  <c r="F74" i="1"/>
  <c r="Q74" i="1" s="1"/>
  <c r="F75" i="1"/>
  <c r="Q75" i="1" s="1"/>
  <c r="F76" i="1"/>
  <c r="Q76" i="1" s="1"/>
  <c r="F77" i="1"/>
  <c r="Q77" i="1" s="1"/>
  <c r="F78" i="1"/>
  <c r="Q78" i="1" s="1"/>
  <c r="F79" i="1"/>
  <c r="Q79" i="1" s="1"/>
  <c r="F80" i="1"/>
  <c r="Q80" i="1" s="1"/>
  <c r="F81" i="1"/>
  <c r="Q81" i="1" s="1"/>
  <c r="F82" i="1"/>
  <c r="Q82" i="1" s="1"/>
  <c r="F83" i="1"/>
  <c r="Q83" i="1" s="1"/>
  <c r="F84" i="1"/>
  <c r="Q84" i="1" s="1"/>
  <c r="F85" i="1"/>
  <c r="Q85" i="1" s="1"/>
  <c r="F86" i="1"/>
  <c r="Q86" i="1" s="1"/>
  <c r="F87" i="1"/>
  <c r="Q87" i="1" s="1"/>
  <c r="F88" i="1"/>
  <c r="Q88" i="1" s="1"/>
  <c r="F89" i="1"/>
  <c r="Q89" i="1" s="1"/>
  <c r="F90" i="1"/>
  <c r="Q90" i="1" s="1"/>
  <c r="F91" i="1"/>
  <c r="Q91" i="1" s="1"/>
  <c r="F92" i="1"/>
  <c r="Q92" i="1" s="1"/>
  <c r="F93" i="1"/>
  <c r="Q93" i="1" s="1"/>
  <c r="F94" i="1"/>
  <c r="Q94" i="1" s="1"/>
  <c r="F95" i="1"/>
  <c r="Q95" i="1" s="1"/>
  <c r="F96" i="1"/>
  <c r="Q96" i="1" s="1"/>
  <c r="F97" i="1"/>
  <c r="Q97" i="1" s="1"/>
  <c r="F98" i="1"/>
  <c r="Q98" i="1" s="1"/>
  <c r="F99" i="1"/>
  <c r="Q99" i="1" s="1"/>
  <c r="F100" i="1"/>
  <c r="Q100" i="1" s="1"/>
  <c r="F101" i="1"/>
  <c r="Q101" i="1" s="1"/>
  <c r="F102" i="1"/>
  <c r="Q102" i="1" s="1"/>
  <c r="F103" i="1"/>
  <c r="Q103" i="1" s="1"/>
  <c r="F104" i="1"/>
  <c r="Q104" i="1" s="1"/>
  <c r="F105" i="1"/>
  <c r="Q105" i="1" s="1"/>
  <c r="F106" i="1"/>
  <c r="Q106" i="1" s="1"/>
  <c r="F107" i="1"/>
  <c r="Q107" i="1" s="1"/>
  <c r="F108" i="1"/>
  <c r="Q108" i="1" s="1"/>
  <c r="F109" i="1"/>
  <c r="Q109" i="1" s="1"/>
  <c r="F110" i="1"/>
  <c r="Q110" i="1" s="1"/>
  <c r="F111" i="1"/>
  <c r="Q111" i="1" s="1"/>
  <c r="F112" i="1"/>
  <c r="Q112" i="1" s="1"/>
  <c r="F113" i="1"/>
  <c r="Q113" i="1" s="1"/>
  <c r="F114" i="1"/>
  <c r="Q114" i="1" s="1"/>
  <c r="F115" i="1"/>
  <c r="Q115" i="1" s="1"/>
  <c r="F116" i="1"/>
  <c r="Q116" i="1" s="1"/>
  <c r="F117" i="1"/>
  <c r="Q117" i="1" s="1"/>
  <c r="F118" i="1"/>
  <c r="Q118" i="1" s="1"/>
  <c r="F119" i="1"/>
  <c r="Q119" i="1" s="1"/>
  <c r="F120" i="1"/>
  <c r="Q120" i="1" s="1"/>
  <c r="F121" i="1"/>
  <c r="Q121" i="1" s="1"/>
  <c r="F122" i="1"/>
  <c r="Q122" i="1" s="1"/>
  <c r="F123" i="1"/>
  <c r="Q123" i="1" s="1"/>
  <c r="F124" i="1"/>
  <c r="Q124" i="1" s="1"/>
  <c r="F125" i="1"/>
  <c r="Q125" i="1" s="1"/>
  <c r="F126" i="1"/>
  <c r="Q126" i="1" s="1"/>
  <c r="F127" i="1"/>
  <c r="Q127" i="1" s="1"/>
  <c r="F128" i="1"/>
  <c r="Q128" i="1" s="1"/>
  <c r="F129" i="1"/>
  <c r="Q129" i="1" s="1"/>
  <c r="F130" i="1"/>
  <c r="Q130" i="1" s="1"/>
  <c r="F131" i="1"/>
  <c r="Q131" i="1" s="1"/>
  <c r="F132" i="1"/>
  <c r="Q132" i="1" s="1"/>
  <c r="F133" i="1"/>
  <c r="Q133" i="1" s="1"/>
  <c r="F134" i="1"/>
  <c r="Q134" i="1" s="1"/>
  <c r="F135" i="1"/>
  <c r="Q135" i="1" s="1"/>
  <c r="F136" i="1"/>
  <c r="Q136" i="1" s="1"/>
  <c r="F137" i="1"/>
  <c r="Q137" i="1" s="1"/>
  <c r="F138" i="1"/>
  <c r="Q138" i="1" s="1"/>
  <c r="F139" i="1"/>
  <c r="Q139" i="1" s="1"/>
  <c r="F140" i="1"/>
  <c r="Q140" i="1" s="1"/>
  <c r="F141" i="1"/>
  <c r="Q141" i="1" s="1"/>
  <c r="F142" i="1"/>
  <c r="Q142" i="1" s="1"/>
  <c r="F143" i="1"/>
  <c r="Q143" i="1" s="1"/>
  <c r="F144" i="1"/>
  <c r="Q144" i="1" s="1"/>
  <c r="F145" i="1"/>
  <c r="Q145" i="1" s="1"/>
  <c r="F146" i="1"/>
  <c r="Q146" i="1" s="1"/>
  <c r="F147" i="1"/>
  <c r="Q147" i="1" s="1"/>
  <c r="F148" i="1"/>
  <c r="Q148" i="1" s="1"/>
  <c r="F149" i="1"/>
  <c r="Q149" i="1" s="1"/>
  <c r="F150" i="1"/>
  <c r="Q150" i="1" s="1"/>
  <c r="F151" i="1"/>
  <c r="Q151" i="1" s="1"/>
  <c r="F152" i="1"/>
  <c r="Q152" i="1" s="1"/>
  <c r="F153" i="1"/>
  <c r="Q153" i="1" s="1"/>
  <c r="F154" i="1"/>
  <c r="Q154" i="1" s="1"/>
  <c r="F155" i="1"/>
  <c r="Q155" i="1" s="1"/>
  <c r="F156" i="1"/>
  <c r="Q156" i="1" s="1"/>
  <c r="F157" i="1"/>
  <c r="Q157" i="1" s="1"/>
  <c r="F158" i="1"/>
  <c r="Q158" i="1" s="1"/>
  <c r="F159" i="1"/>
  <c r="Q159" i="1" s="1"/>
  <c r="F160" i="1"/>
  <c r="Q160" i="1" s="1"/>
  <c r="F161" i="1"/>
  <c r="Q161" i="1" s="1"/>
  <c r="F162" i="1"/>
  <c r="Q162" i="1" s="1"/>
  <c r="F163" i="1"/>
  <c r="Q163" i="1" s="1"/>
  <c r="F164" i="1"/>
  <c r="Q164" i="1" s="1"/>
  <c r="F165" i="1"/>
  <c r="Q165" i="1" s="1"/>
  <c r="F166" i="1"/>
  <c r="Q166" i="1" s="1"/>
  <c r="F167" i="1"/>
  <c r="Q167" i="1" s="1"/>
  <c r="F168" i="1"/>
  <c r="Q168" i="1" s="1"/>
  <c r="F169" i="1"/>
  <c r="Q169" i="1" s="1"/>
  <c r="F170" i="1"/>
  <c r="Q170" i="1" s="1"/>
  <c r="F171" i="1"/>
  <c r="Q171" i="1" s="1"/>
  <c r="F172" i="1"/>
  <c r="Q172" i="1" s="1"/>
  <c r="F173" i="1"/>
  <c r="Q173" i="1" s="1"/>
  <c r="F174" i="1"/>
  <c r="Q174" i="1" s="1"/>
  <c r="F175" i="1"/>
  <c r="Q175" i="1" s="1"/>
  <c r="F176" i="1"/>
  <c r="Q176" i="1" s="1"/>
  <c r="F177" i="1"/>
  <c r="Q177" i="1" s="1"/>
  <c r="F178" i="1"/>
  <c r="Q178" i="1" s="1"/>
  <c r="F179" i="1"/>
  <c r="Q179" i="1" s="1"/>
  <c r="F180" i="1"/>
  <c r="Q180" i="1" s="1"/>
  <c r="F181" i="1"/>
  <c r="Q181" i="1" s="1"/>
  <c r="F182" i="1"/>
  <c r="Q182" i="1" s="1"/>
  <c r="F183" i="1"/>
  <c r="Q183" i="1" s="1"/>
  <c r="F184" i="1"/>
  <c r="Q184" i="1" s="1"/>
  <c r="F185" i="1"/>
  <c r="Q185" i="1" s="1"/>
  <c r="F186" i="1"/>
  <c r="Q186" i="1" s="1"/>
  <c r="F187" i="1"/>
  <c r="Q187" i="1" s="1"/>
  <c r="F188" i="1"/>
  <c r="Q188" i="1" s="1"/>
  <c r="F189" i="1"/>
  <c r="Q189" i="1" s="1"/>
  <c r="F190" i="1"/>
  <c r="Q190" i="1" s="1"/>
  <c r="F191" i="1"/>
  <c r="Q191" i="1" s="1"/>
  <c r="F192" i="1"/>
  <c r="Q192" i="1" s="1"/>
  <c r="F193" i="1"/>
  <c r="Q193" i="1" s="1"/>
  <c r="F194" i="1"/>
  <c r="Q194" i="1" s="1"/>
  <c r="F195" i="1"/>
  <c r="Q195" i="1" s="1"/>
  <c r="F196" i="1"/>
  <c r="Q196" i="1" s="1"/>
  <c r="F197" i="1"/>
  <c r="Q197" i="1" s="1"/>
  <c r="F198" i="1"/>
  <c r="Q198" i="1" s="1"/>
  <c r="F199" i="1"/>
  <c r="Q199" i="1" s="1"/>
  <c r="F200" i="1"/>
  <c r="Q200" i="1" s="1"/>
  <c r="F201" i="1"/>
  <c r="Q201" i="1" s="1"/>
  <c r="M2" i="1"/>
  <c r="N2" i="1" s="1"/>
  <c r="M3" i="1"/>
  <c r="O3" i="1" s="1"/>
  <c r="M4" i="1"/>
  <c r="M5" i="1"/>
  <c r="N5" i="1" s="1"/>
  <c r="M6" i="1"/>
  <c r="N6" i="1" s="1"/>
  <c r="M7" i="1"/>
  <c r="R7" i="1" s="1"/>
  <c r="M8" i="1"/>
  <c r="N8" i="1" s="1"/>
  <c r="M9" i="1"/>
  <c r="N9" i="1" s="1"/>
  <c r="M10" i="1"/>
  <c r="S10" i="1" s="1"/>
  <c r="M11" i="1"/>
  <c r="M12" i="1"/>
  <c r="M13" i="1"/>
  <c r="M14" i="1"/>
  <c r="O14" i="1" s="1"/>
  <c r="M15" i="1"/>
  <c r="O15" i="1" s="1"/>
  <c r="M16" i="1"/>
  <c r="O16" i="1" s="1"/>
  <c r="M17" i="1"/>
  <c r="O17" i="1" s="1"/>
  <c r="M18" i="1"/>
  <c r="R18" i="1" s="1"/>
  <c r="M19" i="1"/>
  <c r="R19" i="1" s="1"/>
  <c r="M20" i="1"/>
  <c r="S20" i="1" s="1"/>
  <c r="M21" i="1"/>
  <c r="R21" i="1" s="1"/>
  <c r="M22" i="1"/>
  <c r="R22" i="1" s="1"/>
  <c r="M23" i="1"/>
  <c r="N23" i="1" s="1"/>
  <c r="M24" i="1"/>
  <c r="M25" i="1"/>
  <c r="O25" i="1" s="1"/>
  <c r="M26" i="1"/>
  <c r="N26" i="1" s="1"/>
  <c r="M27" i="1"/>
  <c r="O27" i="1" s="1"/>
  <c r="M28" i="1"/>
  <c r="N28" i="1" s="1"/>
  <c r="M29" i="1"/>
  <c r="N29" i="1" s="1"/>
  <c r="M30" i="1"/>
  <c r="R30" i="1" s="1"/>
  <c r="M31" i="1"/>
  <c r="R31" i="1" s="1"/>
  <c r="M32" i="1"/>
  <c r="S32" i="1" s="1"/>
  <c r="M33" i="1"/>
  <c r="R33" i="1" s="1"/>
  <c r="M34" i="1"/>
  <c r="R34" i="1" s="1"/>
  <c r="M35" i="1"/>
  <c r="N35" i="1" s="1"/>
  <c r="M36" i="1"/>
  <c r="N36" i="1" s="1"/>
  <c r="M37" i="1"/>
  <c r="M38" i="1"/>
  <c r="N38" i="1" s="1"/>
  <c r="M39" i="1"/>
  <c r="N39" i="1" s="1"/>
  <c r="M40" i="1"/>
  <c r="N40" i="1" s="1"/>
  <c r="M41" i="1"/>
  <c r="N41" i="1" s="1"/>
  <c r="M42" i="1"/>
  <c r="N42" i="1" s="1"/>
  <c r="M43" i="1"/>
  <c r="S43" i="1" s="1"/>
  <c r="M44" i="1"/>
  <c r="R44" i="1" s="1"/>
  <c r="M45" i="1"/>
  <c r="R45" i="1" s="1"/>
  <c r="M46" i="1"/>
  <c r="O46" i="1" s="1"/>
  <c r="M47" i="1"/>
  <c r="N47" i="1" s="1"/>
  <c r="M48" i="1"/>
  <c r="N48" i="1" s="1"/>
  <c r="M49" i="1"/>
  <c r="S49" i="1" s="1"/>
  <c r="M50" i="1"/>
  <c r="N50" i="1" s="1"/>
  <c r="M51" i="1"/>
  <c r="O51" i="1" s="1"/>
  <c r="M52" i="1"/>
  <c r="O52" i="1" s="1"/>
  <c r="M53" i="1"/>
  <c r="N53" i="1" s="1"/>
  <c r="M54" i="1"/>
  <c r="N54" i="1" s="1"/>
  <c r="M55" i="1"/>
  <c r="N55" i="1" s="1"/>
  <c r="M56" i="1"/>
  <c r="N56" i="1" s="1"/>
  <c r="M57" i="1"/>
  <c r="N57" i="1" s="1"/>
  <c r="M58" i="1"/>
  <c r="R58" i="1" s="1"/>
  <c r="M59" i="1"/>
  <c r="M60" i="1"/>
  <c r="M61" i="1"/>
  <c r="S61" i="1" s="1"/>
  <c r="M62" i="1"/>
  <c r="O62" i="1" s="1"/>
  <c r="M63" i="1"/>
  <c r="O63" i="1" s="1"/>
  <c r="M64" i="1"/>
  <c r="S64" i="1" s="1"/>
  <c r="M65" i="1"/>
  <c r="O65" i="1" s="1"/>
  <c r="M66" i="1"/>
  <c r="N66" i="1" s="1"/>
  <c r="M67" i="1"/>
  <c r="S67" i="1" s="1"/>
  <c r="M68" i="1"/>
  <c r="S68" i="1" s="1"/>
  <c r="M69" i="1"/>
  <c r="R69" i="1" s="1"/>
  <c r="M70" i="1"/>
  <c r="R70" i="1" s="1"/>
  <c r="M71" i="1"/>
  <c r="N71" i="1" s="1"/>
  <c r="M72" i="1"/>
  <c r="M73" i="1"/>
  <c r="M74" i="1"/>
  <c r="N74" i="1" s="1"/>
  <c r="M75" i="1"/>
  <c r="O75" i="1" s="1"/>
  <c r="M76" i="1"/>
  <c r="N76" i="1" s="1"/>
  <c r="M77" i="1"/>
  <c r="N77" i="1" s="1"/>
  <c r="M78" i="1"/>
  <c r="N78" i="1" s="1"/>
  <c r="M79" i="1"/>
  <c r="N79" i="1" s="1"/>
  <c r="M80" i="1"/>
  <c r="N80" i="1" s="1"/>
  <c r="M81" i="1"/>
  <c r="N81" i="1" s="1"/>
  <c r="M82" i="1"/>
  <c r="N82" i="1" s="1"/>
  <c r="M83" i="1"/>
  <c r="M84" i="1"/>
  <c r="M85" i="1"/>
  <c r="O85" i="1" s="1"/>
  <c r="M86" i="1"/>
  <c r="N86" i="1" s="1"/>
  <c r="M87" i="1"/>
  <c r="N87" i="1" s="1"/>
  <c r="M88" i="1"/>
  <c r="O88" i="1" s="1"/>
  <c r="M89" i="1"/>
  <c r="O89" i="1" s="1"/>
  <c r="M90" i="1"/>
  <c r="S90" i="1" s="1"/>
  <c r="M91" i="1"/>
  <c r="S91" i="1" s="1"/>
  <c r="M92" i="1"/>
  <c r="R92" i="1" s="1"/>
  <c r="M93" i="1"/>
  <c r="R93" i="1" s="1"/>
  <c r="M94" i="1"/>
  <c r="S94" i="1" s="1"/>
  <c r="M95" i="1"/>
  <c r="S95" i="1" s="1"/>
  <c r="M96" i="1"/>
  <c r="S96" i="1" s="1"/>
  <c r="M97" i="1"/>
  <c r="M98" i="1"/>
  <c r="N98" i="1" s="1"/>
  <c r="M99" i="1"/>
  <c r="O99" i="1" s="1"/>
  <c r="M100" i="1"/>
  <c r="O100" i="1" s="1"/>
  <c r="M101" i="1"/>
  <c r="O101" i="1" s="1"/>
  <c r="M102" i="1"/>
  <c r="S102" i="1" s="1"/>
  <c r="M103" i="1"/>
  <c r="S103" i="1" s="1"/>
  <c r="M104" i="1"/>
  <c r="R104" i="1" s="1"/>
  <c r="M105" i="1"/>
  <c r="S105" i="1" s="1"/>
  <c r="M106" i="1"/>
  <c r="R106" i="1" s="1"/>
  <c r="M107" i="1"/>
  <c r="O107" i="1" s="1"/>
  <c r="M108" i="1"/>
  <c r="N108" i="1" s="1"/>
  <c r="M109" i="1"/>
  <c r="S109" i="1" s="1"/>
  <c r="M110" i="1"/>
  <c r="N110" i="1" s="1"/>
  <c r="M111" i="1"/>
  <c r="O111" i="1" s="1"/>
  <c r="M112" i="1"/>
  <c r="N112" i="1" s="1"/>
  <c r="M113" i="1"/>
  <c r="N113" i="1" s="1"/>
  <c r="M114" i="1"/>
  <c r="N114" i="1" s="1"/>
  <c r="M115" i="1"/>
  <c r="R115" i="1" s="1"/>
  <c r="M116" i="1"/>
  <c r="S116" i="1" s="1"/>
  <c r="M117" i="1"/>
  <c r="R117" i="1" s="1"/>
  <c r="M118" i="1"/>
  <c r="S118" i="1" s="1"/>
  <c r="M119" i="1"/>
  <c r="S119" i="1" s="1"/>
  <c r="M120" i="1"/>
  <c r="O120" i="1" s="1"/>
  <c r="M121" i="1"/>
  <c r="M122" i="1"/>
  <c r="N122" i="1" s="1"/>
  <c r="M123" i="1"/>
  <c r="O123" i="1" s="1"/>
  <c r="M124" i="1"/>
  <c r="N124" i="1" s="1"/>
  <c r="M125" i="1"/>
  <c r="N125" i="1" s="1"/>
  <c r="M126" i="1"/>
  <c r="N126" i="1" s="1"/>
  <c r="M127" i="1"/>
  <c r="N127" i="1" s="1"/>
  <c r="M128" i="1"/>
  <c r="R128" i="1" s="1"/>
  <c r="M129" i="1"/>
  <c r="R129" i="1" s="1"/>
  <c r="M130" i="1"/>
  <c r="R130" i="1" s="1"/>
  <c r="M131" i="1"/>
  <c r="N131" i="1" s="1"/>
  <c r="M132" i="1"/>
  <c r="N132" i="1" s="1"/>
  <c r="M133" i="1"/>
  <c r="M134" i="1"/>
  <c r="N134" i="1" s="1"/>
  <c r="M135" i="1"/>
  <c r="O135" i="1" s="1"/>
  <c r="M136" i="1"/>
  <c r="O136" i="1" s="1"/>
  <c r="M137" i="1"/>
  <c r="O137" i="1" s="1"/>
  <c r="M138" i="1"/>
  <c r="N138" i="1" s="1"/>
  <c r="M139" i="1"/>
  <c r="S139" i="1" s="1"/>
  <c r="M140" i="1"/>
  <c r="R140" i="1" s="1"/>
  <c r="M141" i="1"/>
  <c r="S141" i="1" s="1"/>
  <c r="M142" i="1"/>
  <c r="S142" i="1" s="1"/>
  <c r="M143" i="1"/>
  <c r="O143" i="1" s="1"/>
  <c r="M144" i="1"/>
  <c r="M145" i="1"/>
  <c r="M146" i="1"/>
  <c r="O146" i="1" s="1"/>
  <c r="M147" i="1"/>
  <c r="N147" i="1" s="1"/>
  <c r="M148" i="1"/>
  <c r="N148" i="1" s="1"/>
  <c r="M149" i="1"/>
  <c r="O149" i="1" s="1"/>
  <c r="M150" i="1"/>
  <c r="N150" i="1" s="1"/>
  <c r="M151" i="1"/>
  <c r="R151" i="1" s="1"/>
  <c r="M152" i="1"/>
  <c r="N152" i="1" s="1"/>
  <c r="M153" i="1"/>
  <c r="N153" i="1" s="1"/>
  <c r="M154" i="1"/>
  <c r="O154" i="1" s="1"/>
  <c r="M155" i="1"/>
  <c r="O155" i="1" s="1"/>
  <c r="M156" i="1"/>
  <c r="M157" i="1"/>
  <c r="S157" i="1" s="1"/>
  <c r="M158" i="1"/>
  <c r="N158" i="1" s="1"/>
  <c r="M159" i="1"/>
  <c r="O159" i="1" s="1"/>
  <c r="M160" i="1"/>
  <c r="O160" i="1" s="1"/>
  <c r="M161" i="1"/>
  <c r="O161" i="1" s="1"/>
  <c r="M162" i="1"/>
  <c r="R162" i="1" s="1"/>
  <c r="M163" i="1"/>
  <c r="R163" i="1" s="1"/>
  <c r="M164" i="1"/>
  <c r="R164" i="1" s="1"/>
  <c r="M165" i="1"/>
  <c r="R165" i="1" s="1"/>
  <c r="M166" i="1"/>
  <c r="R166" i="1" s="1"/>
  <c r="M167" i="1"/>
  <c r="M168" i="1"/>
  <c r="S168" i="1" s="1"/>
  <c r="M169" i="1"/>
  <c r="S169" i="1" s="1"/>
  <c r="M170" i="1"/>
  <c r="O170" i="1" s="1"/>
  <c r="M171" i="1"/>
  <c r="S171" i="1" s="1"/>
  <c r="M172" i="1"/>
  <c r="N172" i="1" s="1"/>
  <c r="M173" i="1"/>
  <c r="N173" i="1" s="1"/>
  <c r="M174" i="1"/>
  <c r="R174" i="1" s="1"/>
  <c r="M175" i="1"/>
  <c r="R175" i="1" s="1"/>
  <c r="M176" i="1"/>
  <c r="R176" i="1" s="1"/>
  <c r="M177" i="1"/>
  <c r="R177" i="1" s="1"/>
  <c r="M178" i="1"/>
  <c r="N178" i="1" s="1"/>
  <c r="M179" i="1"/>
  <c r="N179" i="1" s="1"/>
  <c r="M180" i="1"/>
  <c r="N180" i="1" s="1"/>
  <c r="M181" i="1"/>
  <c r="N181" i="1" s="1"/>
  <c r="M182" i="1"/>
  <c r="N182" i="1" s="1"/>
  <c r="M183" i="1"/>
  <c r="O183" i="1" s="1"/>
  <c r="M184" i="1"/>
  <c r="O184" i="1" s="1"/>
  <c r="M185" i="1"/>
  <c r="N185" i="1" s="1"/>
  <c r="M186" i="1"/>
  <c r="N186" i="1" s="1"/>
  <c r="M187" i="1"/>
  <c r="S187" i="1" s="1"/>
  <c r="M188" i="1"/>
  <c r="R188" i="1" s="1"/>
  <c r="M189" i="1"/>
  <c r="R189" i="1" s="1"/>
  <c r="M190" i="1"/>
  <c r="S190" i="1" s="1"/>
  <c r="M191" i="1"/>
  <c r="N191" i="1" s="1"/>
  <c r="M192" i="1"/>
  <c r="N192" i="1" s="1"/>
  <c r="M193" i="1"/>
  <c r="N193" i="1" s="1"/>
  <c r="M194" i="1"/>
  <c r="O194" i="1" s="1"/>
  <c r="M195" i="1"/>
  <c r="O195" i="1" s="1"/>
  <c r="M196" i="1"/>
  <c r="N196" i="1" s="1"/>
  <c r="M197" i="1"/>
  <c r="N197" i="1" s="1"/>
  <c r="M198" i="1"/>
  <c r="N198" i="1" s="1"/>
  <c r="M199" i="1"/>
  <c r="N199" i="1" s="1"/>
  <c r="M200" i="1"/>
  <c r="N200" i="1" s="1"/>
  <c r="M201" i="1"/>
  <c r="N201" i="1" s="1"/>
  <c r="N14" i="1"/>
  <c r="N146" i="1"/>
  <c r="N170" i="1"/>
  <c r="N171" i="1"/>
  <c r="N184" i="1"/>
  <c r="N194" i="1"/>
  <c r="O110" i="1"/>
  <c r="O122" i="1"/>
  <c r="O148" i="1"/>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2" i="6"/>
  <c r="J195" i="1"/>
  <c r="J197" i="1"/>
  <c r="J4" i="1"/>
  <c r="J5" i="1"/>
  <c r="J2" i="1"/>
  <c r="J7" i="1"/>
  <c r="J3" i="1"/>
  <c r="J9" i="1"/>
  <c r="J6" i="1"/>
  <c r="J8" i="1"/>
  <c r="J12" i="1"/>
  <c r="J13" i="1"/>
  <c r="J14" i="1"/>
  <c r="J10" i="1"/>
  <c r="J16" i="1"/>
  <c r="J17" i="1"/>
  <c r="J18" i="1"/>
  <c r="J19" i="1"/>
  <c r="J11" i="1"/>
  <c r="J21" i="1"/>
  <c r="J22" i="1"/>
  <c r="J23" i="1"/>
  <c r="J24" i="1"/>
  <c r="J25" i="1"/>
  <c r="J15" i="1"/>
  <c r="J20" i="1"/>
  <c r="J28" i="1"/>
  <c r="J29" i="1"/>
  <c r="J30" i="1"/>
  <c r="J31" i="1"/>
  <c r="J26" i="1"/>
  <c r="J33" i="1"/>
  <c r="J34" i="1"/>
  <c r="J27" i="1"/>
  <c r="J36" i="1"/>
  <c r="J37" i="1"/>
  <c r="J38" i="1"/>
  <c r="J32" i="1"/>
  <c r="J40" i="1"/>
  <c r="J41" i="1"/>
  <c r="J35" i="1"/>
  <c r="J39" i="1"/>
  <c r="J44" i="1"/>
  <c r="J45" i="1"/>
  <c r="J42" i="1"/>
  <c r="J43" i="1"/>
  <c r="J46" i="1"/>
  <c r="J47" i="1"/>
  <c r="J50" i="1"/>
  <c r="J51" i="1"/>
  <c r="J52" i="1"/>
  <c r="J53" i="1"/>
  <c r="J48" i="1"/>
  <c r="J55" i="1"/>
  <c r="J56" i="1"/>
  <c r="J49" i="1"/>
  <c r="J54" i="1"/>
  <c r="J59" i="1"/>
  <c r="J60" i="1"/>
  <c r="J57" i="1"/>
  <c r="J62" i="1"/>
  <c r="J63" i="1"/>
  <c r="J58" i="1"/>
  <c r="J61" i="1"/>
  <c r="J66" i="1"/>
  <c r="J64" i="1"/>
  <c r="J65" i="1"/>
  <c r="J69" i="1"/>
  <c r="J70" i="1"/>
  <c r="J71" i="1"/>
  <c r="J72" i="1"/>
  <c r="J73" i="1"/>
  <c r="J74" i="1"/>
  <c r="J75" i="1"/>
  <c r="J76" i="1"/>
  <c r="J77" i="1"/>
  <c r="J67" i="1"/>
  <c r="J68" i="1"/>
  <c r="J78" i="1"/>
  <c r="J81" i="1"/>
  <c r="J82" i="1"/>
  <c r="J83" i="1"/>
  <c r="J84" i="1"/>
  <c r="J79" i="1"/>
  <c r="J80" i="1"/>
  <c r="J85" i="1"/>
  <c r="J88" i="1"/>
  <c r="J89" i="1"/>
  <c r="J86" i="1"/>
  <c r="J87" i="1"/>
  <c r="J92" i="1"/>
  <c r="J93" i="1"/>
  <c r="J90" i="1"/>
  <c r="J91" i="1"/>
  <c r="J94" i="1"/>
  <c r="J97" i="1"/>
  <c r="J95" i="1"/>
  <c r="J96" i="1"/>
  <c r="J98" i="1"/>
  <c r="J101" i="1"/>
  <c r="J99" i="1"/>
  <c r="J100" i="1"/>
  <c r="J104" i="1"/>
  <c r="J102" i="1"/>
  <c r="J106" i="1"/>
  <c r="J107" i="1"/>
  <c r="J108" i="1"/>
  <c r="J103" i="1"/>
  <c r="J105" i="1"/>
  <c r="J109" i="1"/>
  <c r="J112" i="1"/>
  <c r="J110" i="1"/>
  <c r="J114" i="1"/>
  <c r="J115" i="1"/>
  <c r="J111" i="1"/>
  <c r="J117" i="1"/>
  <c r="J113" i="1"/>
  <c r="J116" i="1"/>
  <c r="J120" i="1"/>
  <c r="J121" i="1"/>
  <c r="J122" i="1"/>
  <c r="J123" i="1"/>
  <c r="J118" i="1"/>
  <c r="J125" i="1"/>
  <c r="J119" i="1"/>
  <c r="J127" i="1"/>
  <c r="J128" i="1"/>
  <c r="J129" i="1"/>
  <c r="J130" i="1"/>
  <c r="J124" i="1"/>
  <c r="J132" i="1"/>
  <c r="J126" i="1"/>
  <c r="J134" i="1"/>
  <c r="J131" i="1"/>
  <c r="J133" i="1"/>
  <c r="J137" i="1"/>
  <c r="J135" i="1"/>
  <c r="J136" i="1"/>
  <c r="J140" i="1"/>
  <c r="J138" i="1"/>
  <c r="J139" i="1"/>
  <c r="J143" i="1"/>
  <c r="J144" i="1"/>
  <c r="J145" i="1"/>
  <c r="J146" i="1"/>
  <c r="J147" i="1"/>
  <c r="J141" i="1"/>
  <c r="J142" i="1"/>
  <c r="J150" i="1"/>
  <c r="J151" i="1"/>
  <c r="J148" i="1"/>
  <c r="J149" i="1"/>
  <c r="J152" i="1"/>
  <c r="J153" i="1"/>
  <c r="J154" i="1"/>
  <c r="J155" i="1"/>
  <c r="J158" i="1"/>
  <c r="J156" i="1"/>
  <c r="J157" i="1"/>
  <c r="J161" i="1"/>
  <c r="J162" i="1"/>
  <c r="J163" i="1"/>
  <c r="J164" i="1"/>
  <c r="J165" i="1"/>
  <c r="J166" i="1"/>
  <c r="J159" i="1"/>
  <c r="J160" i="1"/>
  <c r="J167" i="1"/>
  <c r="J168" i="1"/>
  <c r="J169" i="1"/>
  <c r="J172" i="1"/>
  <c r="J173" i="1"/>
  <c r="J174" i="1"/>
  <c r="J175" i="1"/>
  <c r="J176" i="1"/>
  <c r="J177" i="1"/>
  <c r="J178" i="1"/>
  <c r="J170" i="1"/>
  <c r="J180" i="1"/>
  <c r="J181" i="1"/>
  <c r="J171" i="1"/>
  <c r="J179" i="1"/>
  <c r="J184" i="1"/>
  <c r="J182" i="1"/>
  <c r="J183" i="1"/>
  <c r="J185" i="1"/>
  <c r="J188" i="1"/>
  <c r="J189" i="1"/>
  <c r="J186" i="1"/>
  <c r="J191" i="1"/>
  <c r="J192" i="1"/>
  <c r="J187" i="1"/>
  <c r="J194" i="1"/>
  <c r="J190" i="1"/>
  <c r="J196" i="1"/>
  <c r="J193" i="1"/>
  <c r="J198" i="1"/>
  <c r="J199" i="1"/>
  <c r="J200" i="1"/>
  <c r="J201" i="1"/>
  <c r="L2" i="1"/>
  <c r="L3" i="1"/>
  <c r="L4" i="1"/>
  <c r="L5" i="1"/>
  <c r="L8" i="1"/>
  <c r="L7" i="1"/>
  <c r="L6" i="1"/>
  <c r="L9" i="1"/>
  <c r="L10" i="1"/>
  <c r="L11" i="1"/>
  <c r="L12" i="1"/>
  <c r="L13" i="1"/>
  <c r="L14" i="1"/>
  <c r="L32" i="1"/>
  <c r="L16" i="1"/>
  <c r="L17" i="1"/>
  <c r="L18" i="1"/>
  <c r="L19" i="1"/>
  <c r="L26" i="1"/>
  <c r="L21" i="1"/>
  <c r="L22" i="1"/>
  <c r="L23" i="1"/>
  <c r="L24" i="1"/>
  <c r="L25" i="1"/>
  <c r="L46" i="1"/>
  <c r="L67" i="1"/>
  <c r="L28" i="1"/>
  <c r="L29" i="1"/>
  <c r="L30" i="1"/>
  <c r="L31" i="1"/>
  <c r="L49" i="1"/>
  <c r="L33" i="1"/>
  <c r="L34" i="1"/>
  <c r="L47" i="1"/>
  <c r="L36" i="1"/>
  <c r="L37" i="1"/>
  <c r="L38" i="1"/>
  <c r="L96" i="1"/>
  <c r="L40" i="1"/>
  <c r="L41" i="1"/>
  <c r="L20" i="1"/>
  <c r="L113" i="1"/>
  <c r="L44" i="1"/>
  <c r="L45" i="1"/>
  <c r="L91" i="1"/>
  <c r="L39" i="1"/>
  <c r="L43" i="1"/>
  <c r="L35" i="1"/>
  <c r="L50" i="1"/>
  <c r="L51" i="1"/>
  <c r="L52" i="1"/>
  <c r="L53" i="1"/>
  <c r="L103" i="1"/>
  <c r="L55" i="1"/>
  <c r="L56" i="1"/>
  <c r="L27" i="1"/>
  <c r="L87" i="1"/>
  <c r="L59" i="1"/>
  <c r="L60" i="1"/>
  <c r="L168" i="1"/>
  <c r="L62" i="1"/>
  <c r="L63" i="1"/>
  <c r="L48" i="1"/>
  <c r="L80" i="1"/>
  <c r="L66" i="1"/>
  <c r="L100" i="1"/>
  <c r="L58" i="1"/>
  <c r="L69" i="1"/>
  <c r="L70" i="1"/>
  <c r="L71" i="1"/>
  <c r="L72" i="1"/>
  <c r="L73" i="1"/>
  <c r="L74" i="1"/>
  <c r="L75" i="1"/>
  <c r="L76" i="1"/>
  <c r="L77" i="1"/>
  <c r="L15" i="1"/>
  <c r="L68" i="1"/>
  <c r="L54" i="1"/>
  <c r="L81" i="1"/>
  <c r="L82" i="1"/>
  <c r="L83" i="1"/>
  <c r="L84" i="1"/>
  <c r="L126" i="1"/>
  <c r="L98" i="1"/>
  <c r="L190" i="1"/>
  <c r="L88" i="1"/>
  <c r="L89" i="1"/>
  <c r="L64" i="1"/>
  <c r="L42" i="1"/>
  <c r="L92" i="1"/>
  <c r="L93" i="1"/>
  <c r="L136" i="1"/>
  <c r="L119" i="1"/>
  <c r="L57" i="1"/>
  <c r="L97" i="1"/>
  <c r="L86" i="1"/>
  <c r="L78" i="1"/>
  <c r="L61" i="1"/>
  <c r="L101" i="1"/>
  <c r="L110" i="1"/>
  <c r="L179" i="1"/>
  <c r="L104" i="1"/>
  <c r="L109" i="1"/>
  <c r="L106" i="1"/>
  <c r="L107" i="1"/>
  <c r="L108" i="1"/>
  <c r="L90" i="1"/>
  <c r="L79" i="1"/>
  <c r="L111" i="1"/>
  <c r="L112" i="1"/>
  <c r="L195" i="1"/>
  <c r="L114" i="1"/>
  <c r="L115" i="1"/>
  <c r="L95" i="1"/>
  <c r="L117" i="1"/>
  <c r="L133" i="1"/>
  <c r="L118" i="1"/>
  <c r="L120" i="1"/>
  <c r="L121" i="1"/>
  <c r="L122" i="1"/>
  <c r="L123" i="1"/>
  <c r="L138" i="1"/>
  <c r="L125" i="1"/>
  <c r="L160" i="1"/>
  <c r="L127" i="1"/>
  <c r="L128" i="1"/>
  <c r="L129" i="1"/>
  <c r="L130" i="1"/>
  <c r="L65" i="1"/>
  <c r="L132" i="1"/>
  <c r="L99" i="1"/>
  <c r="L134" i="1"/>
  <c r="L148" i="1"/>
  <c r="L149" i="1"/>
  <c r="L137" i="1"/>
  <c r="L105" i="1"/>
  <c r="L169" i="1"/>
  <c r="L140" i="1"/>
  <c r="L156" i="1"/>
  <c r="L135" i="1"/>
  <c r="L143" i="1"/>
  <c r="L144" i="1"/>
  <c r="L145" i="1"/>
  <c r="L146" i="1"/>
  <c r="L147" i="1"/>
  <c r="L170" i="1"/>
  <c r="L186" i="1"/>
  <c r="L150" i="1"/>
  <c r="L151" i="1"/>
  <c r="L182" i="1"/>
  <c r="L141" i="1"/>
  <c r="L157" i="1"/>
  <c r="L153" i="1"/>
  <c r="L185" i="1"/>
  <c r="L183" i="1"/>
  <c r="L158" i="1"/>
  <c r="L142" i="1"/>
  <c r="L131" i="1"/>
  <c r="L161" i="1"/>
  <c r="L162" i="1"/>
  <c r="L163" i="1"/>
  <c r="L164" i="1"/>
  <c r="L165" i="1"/>
  <c r="L166" i="1"/>
  <c r="L139" i="1"/>
  <c r="L187" i="1"/>
  <c r="L124" i="1"/>
  <c r="L159" i="1"/>
  <c r="L167" i="1"/>
  <c r="L172" i="1"/>
  <c r="L173" i="1"/>
  <c r="L174" i="1"/>
  <c r="L175" i="1"/>
  <c r="L176" i="1"/>
  <c r="L177" i="1"/>
  <c r="L178" i="1"/>
  <c r="L102" i="1"/>
  <c r="L180" i="1"/>
  <c r="L181" i="1"/>
  <c r="L155" i="1"/>
  <c r="L193" i="1"/>
  <c r="L184" i="1"/>
  <c r="L85" i="1"/>
  <c r="L154" i="1"/>
  <c r="L152" i="1"/>
  <c r="L188" i="1"/>
  <c r="L189" i="1"/>
  <c r="L197" i="1"/>
  <c r="L191" i="1"/>
  <c r="L192" i="1"/>
  <c r="L171" i="1"/>
  <c r="L194" i="1"/>
  <c r="L94" i="1"/>
  <c r="L196" i="1"/>
  <c r="L116" i="1"/>
  <c r="L198" i="1"/>
  <c r="L199" i="1"/>
  <c r="L200" i="1"/>
  <c r="L201" i="1"/>
  <c r="R190" i="1" l="1"/>
  <c r="R142" i="1"/>
  <c r="R118" i="1"/>
  <c r="R94" i="1"/>
  <c r="R46" i="1"/>
  <c r="G9" i="5"/>
  <c r="R141" i="1"/>
  <c r="R9" i="1"/>
  <c r="R68" i="1"/>
  <c r="R56" i="1"/>
  <c r="R32" i="1"/>
  <c r="R20" i="1"/>
  <c r="R8" i="1"/>
  <c r="N52" i="1"/>
  <c r="R199" i="1"/>
  <c r="R187" i="1"/>
  <c r="R139" i="1"/>
  <c r="R127" i="1"/>
  <c r="R103" i="1"/>
  <c r="R91" i="1"/>
  <c r="R79" i="1"/>
  <c r="R67" i="1"/>
  <c r="R55" i="1"/>
  <c r="R43" i="1"/>
  <c r="G7" i="5"/>
  <c r="R178" i="1"/>
  <c r="R154" i="1"/>
  <c r="R82" i="1"/>
  <c r="R10" i="1"/>
  <c r="N63" i="1"/>
  <c r="P63" i="1" s="1"/>
  <c r="R201" i="1"/>
  <c r="R153" i="1"/>
  <c r="R105" i="1"/>
  <c r="R81" i="1"/>
  <c r="R57" i="1"/>
  <c r="N62" i="1"/>
  <c r="P62" i="1" s="1"/>
  <c r="R200" i="1"/>
  <c r="R152" i="1"/>
  <c r="R116" i="1"/>
  <c r="R80" i="1"/>
  <c r="N15" i="1"/>
  <c r="P15" i="1" s="1"/>
  <c r="S111" i="1"/>
  <c r="R198" i="1"/>
  <c r="R186" i="1"/>
  <c r="R150" i="1"/>
  <c r="R138" i="1"/>
  <c r="R126" i="1"/>
  <c r="R114" i="1"/>
  <c r="R102" i="1"/>
  <c r="R90" i="1"/>
  <c r="R78" i="1"/>
  <c r="R66" i="1"/>
  <c r="R54" i="1"/>
  <c r="R42" i="1"/>
  <c r="R6" i="1"/>
  <c r="P84" i="1"/>
  <c r="P72" i="1"/>
  <c r="P60" i="1"/>
  <c r="P24" i="1"/>
  <c r="P104" i="1"/>
  <c r="P175" i="1"/>
  <c r="S46" i="1"/>
  <c r="P80" i="1"/>
  <c r="P8" i="1"/>
  <c r="S57" i="1"/>
  <c r="S58" i="1"/>
  <c r="P186" i="1"/>
  <c r="P29" i="1"/>
  <c r="P178" i="1"/>
  <c r="P127" i="1"/>
  <c r="S154" i="1"/>
  <c r="P172" i="1"/>
  <c r="P112" i="1"/>
  <c r="P76" i="1"/>
  <c r="P52" i="1"/>
  <c r="N64" i="1"/>
  <c r="P64" i="1" s="1"/>
  <c r="S11" i="1"/>
  <c r="S85" i="1"/>
  <c r="S156" i="1"/>
  <c r="P171" i="1"/>
  <c r="P147" i="1"/>
  <c r="P87" i="1"/>
  <c r="P39" i="1"/>
  <c r="P190" i="1"/>
  <c r="P82" i="1"/>
  <c r="P81" i="1"/>
  <c r="P57" i="1"/>
  <c r="P200" i="1"/>
  <c r="P152" i="1"/>
  <c r="P79" i="1"/>
  <c r="P198" i="1"/>
  <c r="P150" i="1"/>
  <c r="P138" i="1"/>
  <c r="P126" i="1"/>
  <c r="P114" i="1"/>
  <c r="P66" i="1"/>
  <c r="P54" i="1"/>
  <c r="P42" i="1"/>
  <c r="P6" i="1"/>
  <c r="S8" i="1"/>
  <c r="S80" i="1"/>
  <c r="P196" i="1"/>
  <c r="P160" i="1"/>
  <c r="P124" i="1"/>
  <c r="P40" i="1"/>
  <c r="P28" i="1"/>
  <c r="S15" i="1"/>
  <c r="S86" i="1"/>
  <c r="S167" i="1"/>
  <c r="P194" i="1"/>
  <c r="P182" i="1"/>
  <c r="P170" i="1"/>
  <c r="P158" i="1"/>
  <c r="P146" i="1"/>
  <c r="P134" i="1"/>
  <c r="P122" i="1"/>
  <c r="P110" i="1"/>
  <c r="P98" i="1"/>
  <c r="P86" i="1"/>
  <c r="P74" i="1"/>
  <c r="P50" i="1"/>
  <c r="P38" i="1"/>
  <c r="P26" i="1"/>
  <c r="P14" i="1"/>
  <c r="P2" i="1"/>
  <c r="P201" i="1"/>
  <c r="P153" i="1"/>
  <c r="P56" i="1"/>
  <c r="P199" i="1"/>
  <c r="P55" i="1"/>
  <c r="P78" i="1"/>
  <c r="P197" i="1"/>
  <c r="P185" i="1"/>
  <c r="P173" i="1"/>
  <c r="P125" i="1"/>
  <c r="P113" i="1"/>
  <c r="P77" i="1"/>
  <c r="P53" i="1"/>
  <c r="P41" i="1"/>
  <c r="P5" i="1"/>
  <c r="P184" i="1"/>
  <c r="P148" i="1"/>
  <c r="O158" i="1"/>
  <c r="S182" i="1"/>
  <c r="P193" i="1"/>
  <c r="P181" i="1"/>
  <c r="P169" i="1"/>
  <c r="S183" i="1"/>
  <c r="P192" i="1"/>
  <c r="P180" i="1"/>
  <c r="P132" i="1"/>
  <c r="P108" i="1"/>
  <c r="P48" i="1"/>
  <c r="P36" i="1"/>
  <c r="P9" i="1"/>
  <c r="O134" i="1"/>
  <c r="S35" i="1"/>
  <c r="P191" i="1"/>
  <c r="P179" i="1"/>
  <c r="P131" i="1"/>
  <c r="P71" i="1"/>
  <c r="P47" i="1"/>
  <c r="P35" i="1"/>
  <c r="P23" i="1"/>
  <c r="S54" i="1"/>
  <c r="S185" i="1"/>
  <c r="S26" i="1"/>
  <c r="S87" i="1"/>
  <c r="S136" i="1"/>
  <c r="S186" i="1"/>
  <c r="S27" i="1"/>
  <c r="S110" i="1"/>
  <c r="S138" i="1"/>
  <c r="S159" i="1"/>
  <c r="O86" i="1"/>
  <c r="S113" i="1"/>
  <c r="S193" i="1"/>
  <c r="O171" i="1"/>
  <c r="O74" i="1"/>
  <c r="N135" i="1"/>
  <c r="P135" i="1" s="1"/>
  <c r="O87" i="1"/>
  <c r="S2" i="1"/>
  <c r="S39" i="1"/>
  <c r="S65" i="1"/>
  <c r="S195" i="1"/>
  <c r="N136" i="1"/>
  <c r="P136" i="1" s="1"/>
  <c r="O196" i="1"/>
  <c r="O39" i="1"/>
  <c r="S3" i="1"/>
  <c r="S42" i="1"/>
  <c r="S148" i="1"/>
  <c r="S197" i="1"/>
  <c r="S160" i="1"/>
  <c r="O50" i="1"/>
  <c r="S6" i="1"/>
  <c r="S98" i="1"/>
  <c r="S149" i="1"/>
  <c r="S170" i="1"/>
  <c r="O182" i="1"/>
  <c r="O38" i="1"/>
  <c r="S78" i="1"/>
  <c r="S99" i="1"/>
  <c r="S124" i="1"/>
  <c r="S152" i="1"/>
  <c r="N195" i="1"/>
  <c r="P195" i="1" s="1"/>
  <c r="S47" i="1"/>
  <c r="S79" i="1"/>
  <c r="S100" i="1"/>
  <c r="S126" i="1"/>
  <c r="S153" i="1"/>
  <c r="S179" i="1"/>
  <c r="F4" i="11"/>
  <c r="G8" i="5"/>
  <c r="Q3" i="1"/>
  <c r="O26" i="1"/>
  <c r="Q2" i="1"/>
  <c r="N111" i="1"/>
  <c r="P111" i="1" s="1"/>
  <c r="O113" i="1"/>
  <c r="N183" i="1"/>
  <c r="P183" i="1" s="1"/>
  <c r="N101" i="1"/>
  <c r="P101" i="1" s="1"/>
  <c r="O147" i="1"/>
  <c r="O112" i="1"/>
  <c r="N100" i="1"/>
  <c r="P100" i="1" s="1"/>
  <c r="O185" i="1"/>
  <c r="N89" i="1"/>
  <c r="P89" i="1" s="1"/>
  <c r="O76" i="1"/>
  <c r="N88" i="1"/>
  <c r="P88" i="1" s="1"/>
  <c r="N149" i="1"/>
  <c r="P149" i="1" s="1"/>
  <c r="O29" i="1"/>
  <c r="O28" i="1"/>
  <c r="N75" i="1"/>
  <c r="P75" i="1" s="1"/>
  <c r="N154" i="1"/>
  <c r="P154" i="1" s="1"/>
  <c r="N99" i="1"/>
  <c r="P99" i="1" s="1"/>
  <c r="N51" i="1"/>
  <c r="P51" i="1" s="1"/>
  <c r="O98" i="1"/>
  <c r="O77" i="1"/>
  <c r="N137" i="1"/>
  <c r="P137" i="1" s="1"/>
  <c r="N27" i="1"/>
  <c r="P27" i="1" s="1"/>
  <c r="O53" i="1"/>
  <c r="N17" i="1"/>
  <c r="P17" i="1" s="1"/>
  <c r="O125" i="1"/>
  <c r="N16" i="1"/>
  <c r="P16" i="1" s="1"/>
  <c r="O124" i="1"/>
  <c r="N65" i="1"/>
  <c r="P65" i="1" s="1"/>
  <c r="O173" i="1"/>
  <c r="O41" i="1"/>
  <c r="O5" i="1"/>
  <c r="N160" i="1"/>
  <c r="N3" i="1"/>
  <c r="P3" i="1" s="1"/>
  <c r="N4" i="1"/>
  <c r="P4" i="1" s="1"/>
  <c r="O172" i="1"/>
  <c r="O40" i="1"/>
  <c r="O4" i="1"/>
  <c r="N159" i="1"/>
  <c r="P159" i="1" s="1"/>
  <c r="N123" i="1"/>
  <c r="P123" i="1" s="1"/>
  <c r="O47" i="1"/>
  <c r="N161" i="1"/>
  <c r="P161" i="1" s="1"/>
  <c r="O197" i="1"/>
  <c r="O64" i="1"/>
  <c r="O2" i="1"/>
  <c r="O169" i="1"/>
  <c r="N169" i="1"/>
  <c r="O157" i="1"/>
  <c r="N145" i="1"/>
  <c r="P145" i="1" s="1"/>
  <c r="O145" i="1"/>
  <c r="N121" i="1"/>
  <c r="P121" i="1" s="1"/>
  <c r="O121" i="1"/>
  <c r="O109" i="1"/>
  <c r="N109" i="1"/>
  <c r="P109" i="1" s="1"/>
  <c r="N97" i="1"/>
  <c r="P97" i="1" s="1"/>
  <c r="O73" i="1"/>
  <c r="N73" i="1"/>
  <c r="P73" i="1" s="1"/>
  <c r="O61" i="1"/>
  <c r="N61" i="1"/>
  <c r="P61" i="1" s="1"/>
  <c r="N37" i="1"/>
  <c r="P37" i="1" s="1"/>
  <c r="O37" i="1"/>
  <c r="O97" i="1"/>
  <c r="O168" i="1"/>
  <c r="N168" i="1"/>
  <c r="P168" i="1" s="1"/>
  <c r="N144" i="1"/>
  <c r="P144" i="1" s="1"/>
  <c r="O144" i="1"/>
  <c r="O84" i="1"/>
  <c r="N84" i="1"/>
  <c r="N72" i="1"/>
  <c r="O72" i="1"/>
  <c r="N60" i="1"/>
  <c r="O60" i="1"/>
  <c r="O36" i="1"/>
  <c r="O24" i="1"/>
  <c r="N24" i="1"/>
  <c r="O193" i="1"/>
  <c r="O96" i="1"/>
  <c r="O179" i="1"/>
  <c r="N167" i="1"/>
  <c r="P167" i="1" s="1"/>
  <c r="O167" i="1"/>
  <c r="N119" i="1"/>
  <c r="P119" i="1" s="1"/>
  <c r="O119" i="1"/>
  <c r="O83" i="1"/>
  <c r="N83" i="1"/>
  <c r="P83" i="1" s="1"/>
  <c r="N59" i="1"/>
  <c r="P59" i="1" s="1"/>
  <c r="O59" i="1"/>
  <c r="O35" i="1"/>
  <c r="N107" i="1"/>
  <c r="P107" i="1" s="1"/>
  <c r="N25" i="1"/>
  <c r="P25" i="1" s="1"/>
  <c r="O192" i="1"/>
  <c r="O95" i="1"/>
  <c r="N190" i="1"/>
  <c r="O178" i="1"/>
  <c r="N166" i="1"/>
  <c r="P166" i="1" s="1"/>
  <c r="O166" i="1"/>
  <c r="O142" i="1"/>
  <c r="N130" i="1"/>
  <c r="P130" i="1" s="1"/>
  <c r="O130" i="1"/>
  <c r="O118" i="1"/>
  <c r="N118" i="1"/>
  <c r="P118" i="1" s="1"/>
  <c r="O94" i="1"/>
  <c r="O82" i="1"/>
  <c r="N70" i="1"/>
  <c r="P70" i="1" s="1"/>
  <c r="N58" i="1"/>
  <c r="P58" i="1" s="1"/>
  <c r="O58" i="1"/>
  <c r="N46" i="1"/>
  <c r="P46" i="1" s="1"/>
  <c r="O34" i="1"/>
  <c r="N34" i="1"/>
  <c r="P34" i="1" s="1"/>
  <c r="N106" i="1"/>
  <c r="P106" i="1" s="1"/>
  <c r="O191" i="1"/>
  <c r="O133" i="1"/>
  <c r="O23" i="1"/>
  <c r="N189" i="1"/>
  <c r="P189" i="1" s="1"/>
  <c r="N177" i="1"/>
  <c r="P177" i="1" s="1"/>
  <c r="N129" i="1"/>
  <c r="P129" i="1" s="1"/>
  <c r="N117" i="1"/>
  <c r="P117" i="1" s="1"/>
  <c r="N105" i="1"/>
  <c r="P105" i="1" s="1"/>
  <c r="N93" i="1"/>
  <c r="P93" i="1" s="1"/>
  <c r="N69" i="1"/>
  <c r="P69" i="1" s="1"/>
  <c r="N45" i="1"/>
  <c r="P45" i="1" s="1"/>
  <c r="N33" i="1"/>
  <c r="P33" i="1" s="1"/>
  <c r="N133" i="1"/>
  <c r="P133" i="1" s="1"/>
  <c r="O190" i="1"/>
  <c r="O132" i="1"/>
  <c r="O22" i="1"/>
  <c r="N188" i="1"/>
  <c r="P188" i="1" s="1"/>
  <c r="N176" i="1"/>
  <c r="P176" i="1" s="1"/>
  <c r="N128" i="1"/>
  <c r="P128" i="1" s="1"/>
  <c r="N116" i="1"/>
  <c r="P116" i="1" s="1"/>
  <c r="N104" i="1"/>
  <c r="N92" i="1"/>
  <c r="P92" i="1" s="1"/>
  <c r="N68" i="1"/>
  <c r="P68" i="1" s="1"/>
  <c r="N44" i="1"/>
  <c r="P44" i="1" s="1"/>
  <c r="N32" i="1"/>
  <c r="P32" i="1" s="1"/>
  <c r="N20" i="1"/>
  <c r="P20" i="1" s="1"/>
  <c r="N22" i="1"/>
  <c r="P22" i="1" s="1"/>
  <c r="O131" i="1"/>
  <c r="O71" i="1"/>
  <c r="N187" i="1"/>
  <c r="P187" i="1" s="1"/>
  <c r="N175" i="1"/>
  <c r="N163" i="1"/>
  <c r="P163" i="1" s="1"/>
  <c r="N151" i="1"/>
  <c r="P151" i="1" s="1"/>
  <c r="N103" i="1"/>
  <c r="P103" i="1" s="1"/>
  <c r="N91" i="1"/>
  <c r="P91" i="1" s="1"/>
  <c r="N31" i="1"/>
  <c r="P31" i="1" s="1"/>
  <c r="N19" i="1"/>
  <c r="P19" i="1" s="1"/>
  <c r="N7" i="1"/>
  <c r="P7" i="1" s="1"/>
  <c r="N165" i="1"/>
  <c r="P165" i="1" s="1"/>
  <c r="N143" i="1"/>
  <c r="P143" i="1" s="1"/>
  <c r="N21" i="1"/>
  <c r="P21" i="1" s="1"/>
  <c r="O181" i="1"/>
  <c r="O70" i="1"/>
  <c r="O13" i="1"/>
  <c r="N164" i="1"/>
  <c r="P164" i="1" s="1"/>
  <c r="N142" i="1"/>
  <c r="P142" i="1" s="1"/>
  <c r="N96" i="1"/>
  <c r="P96" i="1" s="1"/>
  <c r="N67" i="1"/>
  <c r="P67" i="1" s="1"/>
  <c r="N43" i="1"/>
  <c r="P43" i="1" s="1"/>
  <c r="N157" i="1"/>
  <c r="P157" i="1" s="1"/>
  <c r="N85" i="1"/>
  <c r="P85" i="1" s="1"/>
  <c r="N49" i="1"/>
  <c r="P49" i="1" s="1"/>
  <c r="N13" i="1"/>
  <c r="P13" i="1" s="1"/>
  <c r="O180" i="1"/>
  <c r="O12" i="1"/>
  <c r="N141" i="1"/>
  <c r="P141" i="1" s="1"/>
  <c r="N120" i="1"/>
  <c r="P120" i="1" s="1"/>
  <c r="N95" i="1"/>
  <c r="P95" i="1" s="1"/>
  <c r="N12" i="1"/>
  <c r="P12" i="1" s="1"/>
  <c r="O108" i="1"/>
  <c r="O11" i="1"/>
  <c r="N156" i="1"/>
  <c r="P156" i="1" s="1"/>
  <c r="N140" i="1"/>
  <c r="P140" i="1" s="1"/>
  <c r="N115" i="1"/>
  <c r="P115" i="1" s="1"/>
  <c r="N94" i="1"/>
  <c r="P94" i="1" s="1"/>
  <c r="N11" i="1"/>
  <c r="P11" i="1" s="1"/>
  <c r="O49" i="1"/>
  <c r="O10" i="1"/>
  <c r="N155" i="1"/>
  <c r="P155" i="1" s="1"/>
  <c r="N139" i="1"/>
  <c r="P139" i="1" s="1"/>
  <c r="N10" i="1"/>
  <c r="P10" i="1" s="1"/>
  <c r="O156" i="1"/>
  <c r="O106" i="1"/>
  <c r="O48" i="1"/>
  <c r="N90" i="1"/>
  <c r="P90" i="1" s="1"/>
  <c r="N162" i="1"/>
  <c r="P162" i="1" s="1"/>
  <c r="N18" i="1"/>
  <c r="P18" i="1" s="1"/>
  <c r="N174" i="1"/>
  <c r="P174" i="1" s="1"/>
  <c r="N102" i="1"/>
  <c r="P102" i="1" s="1"/>
  <c r="N30" i="1"/>
  <c r="P30" i="1" s="1"/>
  <c r="O201" i="1"/>
  <c r="O189" i="1"/>
  <c r="O177" i="1"/>
  <c r="O165" i="1"/>
  <c r="O153" i="1"/>
  <c r="O141" i="1"/>
  <c r="O129" i="1"/>
  <c r="O117" i="1"/>
  <c r="O105" i="1"/>
  <c r="O93" i="1"/>
  <c r="O81" i="1"/>
  <c r="O69" i="1"/>
  <c r="O57" i="1"/>
  <c r="O45" i="1"/>
  <c r="O33" i="1"/>
  <c r="O21" i="1"/>
  <c r="O9" i="1"/>
  <c r="O200" i="1"/>
  <c r="O188" i="1"/>
  <c r="O176" i="1"/>
  <c r="O164" i="1"/>
  <c r="O152" i="1"/>
  <c r="O140" i="1"/>
  <c r="O128" i="1"/>
  <c r="O116" i="1"/>
  <c r="O104" i="1"/>
  <c r="O92" i="1"/>
  <c r="O80" i="1"/>
  <c r="O68" i="1"/>
  <c r="O56" i="1"/>
  <c r="O44" i="1"/>
  <c r="O32" i="1"/>
  <c r="O20" i="1"/>
  <c r="O8" i="1"/>
  <c r="O199" i="1"/>
  <c r="O187" i="1"/>
  <c r="O175" i="1"/>
  <c r="O163" i="1"/>
  <c r="O151" i="1"/>
  <c r="O139" i="1"/>
  <c r="O127" i="1"/>
  <c r="O115" i="1"/>
  <c r="O103" i="1"/>
  <c r="O91" i="1"/>
  <c r="O79" i="1"/>
  <c r="O67" i="1"/>
  <c r="O55" i="1"/>
  <c r="O43" i="1"/>
  <c r="O31" i="1"/>
  <c r="O19" i="1"/>
  <c r="O7" i="1"/>
  <c r="O198" i="1"/>
  <c r="O186" i="1"/>
  <c r="O174" i="1"/>
  <c r="O162" i="1"/>
  <c r="O150" i="1"/>
  <c r="O138" i="1"/>
  <c r="O126" i="1"/>
  <c r="O114" i="1"/>
  <c r="O102" i="1"/>
  <c r="O90" i="1"/>
  <c r="O78" i="1"/>
  <c r="O66" i="1"/>
  <c r="O54" i="1"/>
  <c r="O42" i="1"/>
  <c r="O30" i="1"/>
  <c r="O18" i="1"/>
  <c r="O6" i="1"/>
</calcChain>
</file>

<file path=xl/sharedStrings.xml><?xml version="1.0" encoding="utf-8"?>
<sst xmlns="http://schemas.openxmlformats.org/spreadsheetml/2006/main" count="1712" uniqueCount="1189">
  <si>
    <t>Coin Name</t>
  </si>
  <si>
    <t>Symbol</t>
  </si>
  <si>
    <t>Price (USD)</t>
  </si>
  <si>
    <t>1h Change (%)</t>
  </si>
  <si>
    <t>Market Cap</t>
  </si>
  <si>
    <t>Volume (24h) USD</t>
  </si>
  <si>
    <t>Circulating Supply</t>
  </si>
  <si>
    <t>Bitcoin</t>
  </si>
  <si>
    <t>Ethereum</t>
  </si>
  <si>
    <t>Tether</t>
  </si>
  <si>
    <t>XRP</t>
  </si>
  <si>
    <t>BNB</t>
  </si>
  <si>
    <t>Solana</t>
  </si>
  <si>
    <t>USDC</t>
  </si>
  <si>
    <t>TRON</t>
  </si>
  <si>
    <t>Dogecoin</t>
  </si>
  <si>
    <t>Cardano</t>
  </si>
  <si>
    <t>Pudgy Penguins</t>
  </si>
  <si>
    <t>Walrus</t>
  </si>
  <si>
    <t>Raydium</t>
  </si>
  <si>
    <t>Core</t>
  </si>
  <si>
    <t>Tezos</t>
  </si>
  <si>
    <t>Pyth Network</t>
  </si>
  <si>
    <t>Flow</t>
  </si>
  <si>
    <t>Maple Finance</t>
  </si>
  <si>
    <t>Decentraland</t>
  </si>
  <si>
    <t>TrueUSD</t>
  </si>
  <si>
    <t>Fasttoken</t>
  </si>
  <si>
    <t>Jupiter Perps LP</t>
  </si>
  <si>
    <t>Zeebu</t>
  </si>
  <si>
    <t>Fellaz</t>
  </si>
  <si>
    <t>Usual USD</t>
  </si>
  <si>
    <t>Ondo US Dollar Yield</t>
  </si>
  <si>
    <t>Falcon USD</t>
  </si>
  <si>
    <t>Loaded Lions</t>
  </si>
  <si>
    <t>would</t>
  </si>
  <si>
    <t>WhiteRock</t>
  </si>
  <si>
    <t>Ontology</t>
  </si>
  <si>
    <t>Request</t>
  </si>
  <si>
    <t>Paycoin</t>
  </si>
  <si>
    <t>COTI</t>
  </si>
  <si>
    <t>Gravity (by Galxe)</t>
  </si>
  <si>
    <t>Terra</t>
  </si>
  <si>
    <t>Solar</t>
  </si>
  <si>
    <t>Destra Network</t>
  </si>
  <si>
    <t>World Mobile Token</t>
  </si>
  <si>
    <t>SKALE</t>
  </si>
  <si>
    <t>Usual</t>
  </si>
  <si>
    <t>Arcblock</t>
  </si>
  <si>
    <t>Memecoin</t>
  </si>
  <si>
    <t>MiL.k</t>
  </si>
  <si>
    <t>dKargo</t>
  </si>
  <si>
    <t>AI Companions</t>
  </si>
  <si>
    <t>Degen</t>
  </si>
  <si>
    <t>Aevo</t>
  </si>
  <si>
    <t>Spark</t>
  </si>
  <si>
    <t>Global Commercial Business</t>
  </si>
  <si>
    <t>NEM</t>
  </si>
  <si>
    <t>Humans.ai</t>
  </si>
  <si>
    <t>Oasys</t>
  </si>
  <si>
    <t>Smooth Love Potion</t>
  </si>
  <si>
    <t>Neutron</t>
  </si>
  <si>
    <t>Eurite</t>
  </si>
  <si>
    <t>ANDY (ETH)</t>
  </si>
  <si>
    <t>GameBuild</t>
  </si>
  <si>
    <t>Tornado Cash</t>
  </si>
  <si>
    <t>DeFi Pulse Index</t>
  </si>
  <si>
    <t>Kujira</t>
  </si>
  <si>
    <t>Gains Network</t>
  </si>
  <si>
    <t>AVA (Travala)</t>
  </si>
  <si>
    <t>DEAPcoin</t>
  </si>
  <si>
    <t>The Arena</t>
  </si>
  <si>
    <t>Dohrnii</t>
  </si>
  <si>
    <t>Ampleforth Governance Token</t>
  </si>
  <si>
    <t>Metadium</t>
  </si>
  <si>
    <t>Shentu</t>
  </si>
  <si>
    <t>Nakamoto Games</t>
  </si>
  <si>
    <t>Groestlcoin</t>
  </si>
  <si>
    <t>Sui Name Service</t>
  </si>
  <si>
    <t>Haedal Protocol</t>
  </si>
  <si>
    <t>Fractal Bitcoin</t>
  </si>
  <si>
    <t>PlatON</t>
  </si>
  <si>
    <t>NFPrompt</t>
  </si>
  <si>
    <t>Orbiter Finance</t>
  </si>
  <si>
    <t>Covalent X Token</t>
  </si>
  <si>
    <t>OMG Network</t>
  </si>
  <si>
    <t>Radiant Capital</t>
  </si>
  <si>
    <t>Klever Coin</t>
  </si>
  <si>
    <t>Pups (Bitcoin)</t>
  </si>
  <si>
    <t>NATIX Network</t>
  </si>
  <si>
    <t>ORIGYN</t>
  </si>
  <si>
    <t>Daddy Tate</t>
  </si>
  <si>
    <t>Impossible Finance Launchpad</t>
  </si>
  <si>
    <t>League of Kingdoms Arena</t>
  </si>
  <si>
    <t>Mango</t>
  </si>
  <si>
    <t>DAR Open Network</t>
  </si>
  <si>
    <t>Alaya Governance Token</t>
  </si>
  <si>
    <t>Port3 Network</t>
  </si>
  <si>
    <t>SIX Token</t>
  </si>
  <si>
    <t>Cult DAO</t>
  </si>
  <si>
    <t>crow with knife</t>
  </si>
  <si>
    <t>Cortex</t>
  </si>
  <si>
    <t>Paris Saint-Germain Fan Token</t>
  </si>
  <si>
    <t>Comtech Gold</t>
  </si>
  <si>
    <t>Definitive</t>
  </si>
  <si>
    <t>Contentos</t>
  </si>
  <si>
    <t>Step Finance</t>
  </si>
  <si>
    <t>OctaSpace</t>
  </si>
  <si>
    <t>Aura Finance</t>
  </si>
  <si>
    <t>PIBBLE</t>
  </si>
  <si>
    <t>U2U Network</t>
  </si>
  <si>
    <t>Persistence One</t>
  </si>
  <si>
    <t>TROLL (SOL)</t>
  </si>
  <si>
    <t>WeFi</t>
  </si>
  <si>
    <t>Dora Factory</t>
  </si>
  <si>
    <t>Alon</t>
  </si>
  <si>
    <t>Beefy</t>
  </si>
  <si>
    <t>Karate Combat</t>
  </si>
  <si>
    <t>Efinity Token</t>
  </si>
  <si>
    <t>Nura Labs</t>
  </si>
  <si>
    <t>Nexera</t>
  </si>
  <si>
    <t>Department Of Government Efficiency (dogegov.com)</t>
  </si>
  <si>
    <t>moonpig</t>
  </si>
  <si>
    <t>Aerobud</t>
  </si>
  <si>
    <t>cheqd</t>
  </si>
  <si>
    <t>Koma Inu</t>
  </si>
  <si>
    <t>Pitbull</t>
  </si>
  <si>
    <t>Venus LTC</t>
  </si>
  <si>
    <t>KONET</t>
  </si>
  <si>
    <t>Creta World</t>
  </si>
  <si>
    <t>WazirX</t>
  </si>
  <si>
    <t>Baanx</t>
  </si>
  <si>
    <t>SwarmNode.ai</t>
  </si>
  <si>
    <t>Hathor</t>
  </si>
  <si>
    <t>Venus DAI</t>
  </si>
  <si>
    <t>trac (Ordinals)</t>
  </si>
  <si>
    <t>AirSwap</t>
  </si>
  <si>
    <t>nubcat</t>
  </si>
  <si>
    <t>CrossFi</t>
  </si>
  <si>
    <t>Tron Bull</t>
  </si>
  <si>
    <t>Openfabric AI</t>
  </si>
  <si>
    <t>Electric Vehicle Zone</t>
  </si>
  <si>
    <t>Metahero</t>
  </si>
  <si>
    <t>Inter Milan Fan Token</t>
  </si>
  <si>
    <t>Darkpino</t>
  </si>
  <si>
    <t>Velas</t>
  </si>
  <si>
    <t>Abelian</t>
  </si>
  <si>
    <t>Electra Protocol</t>
  </si>
  <si>
    <t>Kin</t>
  </si>
  <si>
    <t>KiloEx</t>
  </si>
  <si>
    <t>Privasea AI</t>
  </si>
  <si>
    <t>MAD</t>
  </si>
  <si>
    <t>Robonomics.network</t>
  </si>
  <si>
    <t>Alitas</t>
  </si>
  <si>
    <t>Bytecoin</t>
  </si>
  <si>
    <t>Morpheus.Network</t>
  </si>
  <si>
    <t>WELF</t>
  </si>
  <si>
    <t>Cypherium</t>
  </si>
  <si>
    <t>Dingocoin</t>
  </si>
  <si>
    <t>IBStoken</t>
  </si>
  <si>
    <t>AIT Protocol</t>
  </si>
  <si>
    <t>Bitcoin 2</t>
  </si>
  <si>
    <t>OmniFlix Network</t>
  </si>
  <si>
    <t>TRVL (Dtravel)</t>
  </si>
  <si>
    <t>DeBox</t>
  </si>
  <si>
    <t>Akita Inu</t>
  </si>
  <si>
    <t>Hive Intelligence</t>
  </si>
  <si>
    <t>Sentio AI</t>
  </si>
  <si>
    <t>Sylo</t>
  </si>
  <si>
    <t>PornRocket</t>
  </si>
  <si>
    <t>FNCY</t>
  </si>
  <si>
    <t>Hoge Finance</t>
  </si>
  <si>
    <t>Big Data Protocol</t>
  </si>
  <si>
    <t>Byte</t>
  </si>
  <si>
    <t>Universe Boss Coin</t>
  </si>
  <si>
    <t>ADAMANT Messenger</t>
  </si>
  <si>
    <t>CHADETTE</t>
  </si>
  <si>
    <t>NULS</t>
  </si>
  <si>
    <t>Quq</t>
  </si>
  <si>
    <t>RigoBlock</t>
  </si>
  <si>
    <t>LEGIT</t>
  </si>
  <si>
    <t>Super Zero Protocol</t>
  </si>
  <si>
    <t>Letit</t>
  </si>
  <si>
    <t>GoChain</t>
  </si>
  <si>
    <t>BlackCardCoin</t>
  </si>
  <si>
    <t>Habibi</t>
  </si>
  <si>
    <t>Striker League</t>
  </si>
  <si>
    <t>Ctrl Wallet</t>
  </si>
  <si>
    <t>Etherisc DIP Token</t>
  </si>
  <si>
    <t>Rubic</t>
  </si>
  <si>
    <t>BizAuto</t>
  </si>
  <si>
    <t>BIGFACTS</t>
  </si>
  <si>
    <t>Didi Bam Bam</t>
  </si>
  <si>
    <t>Rebel Cars</t>
  </si>
  <si>
    <t>Vulcan Forged (LAVA)</t>
  </si>
  <si>
    <t>DeHub</t>
  </si>
  <si>
    <t>Mubarakah</t>
  </si>
  <si>
    <t>TOWER</t>
  </si>
  <si>
    <t>Octokn</t>
  </si>
  <si>
    <t>StarSlax</t>
  </si>
  <si>
    <t>Ertha</t>
  </si>
  <si>
    <t>SafeCoin</t>
  </si>
  <si>
    <t>Dolos The Bully</t>
  </si>
  <si>
    <t>LanLan Cat</t>
  </si>
  <si>
    <t>Torum</t>
  </si>
  <si>
    <t>SUNCAT</t>
  </si>
  <si>
    <t>HOME3</t>
  </si>
  <si>
    <t>BTC</t>
  </si>
  <si>
    <t>ETH</t>
  </si>
  <si>
    <t>USDT</t>
  </si>
  <si>
    <t>SOL</t>
  </si>
  <si>
    <t>TRX</t>
  </si>
  <si>
    <t>DOGE</t>
  </si>
  <si>
    <t>ADA</t>
  </si>
  <si>
    <t>PENGU</t>
  </si>
  <si>
    <t>WAL</t>
  </si>
  <si>
    <t>RAY</t>
  </si>
  <si>
    <t>CORE</t>
  </si>
  <si>
    <t>XTZ</t>
  </si>
  <si>
    <t>PYTH</t>
  </si>
  <si>
    <t>FLOW</t>
  </si>
  <si>
    <t>SYRUP</t>
  </si>
  <si>
    <t>MANA</t>
  </si>
  <si>
    <t>TUSD</t>
  </si>
  <si>
    <t>FTN</t>
  </si>
  <si>
    <t>JLP</t>
  </si>
  <si>
    <t>ZBU</t>
  </si>
  <si>
    <t>FLZ</t>
  </si>
  <si>
    <t>USD0</t>
  </si>
  <si>
    <t>USDY</t>
  </si>
  <si>
    <t>USDf</t>
  </si>
  <si>
    <t>LION</t>
  </si>
  <si>
    <t>WOULD</t>
  </si>
  <si>
    <t>WHITE</t>
  </si>
  <si>
    <t>ONT</t>
  </si>
  <si>
    <t>REQ</t>
  </si>
  <si>
    <t>PCI</t>
  </si>
  <si>
    <t>G</t>
  </si>
  <si>
    <t>LUNA</t>
  </si>
  <si>
    <t>SXP</t>
  </si>
  <si>
    <t>DSYNC</t>
  </si>
  <si>
    <t>WMTX</t>
  </si>
  <si>
    <t>SKL</t>
  </si>
  <si>
    <t>USUAL</t>
  </si>
  <si>
    <t>ABT</t>
  </si>
  <si>
    <t>MEME</t>
  </si>
  <si>
    <t>MLK</t>
  </si>
  <si>
    <t>DKA</t>
  </si>
  <si>
    <t>AIC</t>
  </si>
  <si>
    <t>DEGEN</t>
  </si>
  <si>
    <t>AEVO</t>
  </si>
  <si>
    <t>SPK</t>
  </si>
  <si>
    <t>GCB</t>
  </si>
  <si>
    <t>XEM</t>
  </si>
  <si>
    <t>HEART</t>
  </si>
  <si>
    <t>OAS</t>
  </si>
  <si>
    <t>SLP</t>
  </si>
  <si>
    <t>NTRN</t>
  </si>
  <si>
    <t>EURI</t>
  </si>
  <si>
    <t>ANDY</t>
  </si>
  <si>
    <t>GAME</t>
  </si>
  <si>
    <t>TORN</t>
  </si>
  <si>
    <t>DPI</t>
  </si>
  <si>
    <t>KUJI</t>
  </si>
  <si>
    <t>GNS</t>
  </si>
  <si>
    <t>AVA</t>
  </si>
  <si>
    <t>DEP</t>
  </si>
  <si>
    <t>ARENA</t>
  </si>
  <si>
    <t>DHN</t>
  </si>
  <si>
    <t>FORTH</t>
  </si>
  <si>
    <t>META</t>
  </si>
  <si>
    <t>CTK</t>
  </si>
  <si>
    <t>NAKA</t>
  </si>
  <si>
    <t>GRS</t>
  </si>
  <si>
    <t>NS</t>
  </si>
  <si>
    <t>HAEDAL</t>
  </si>
  <si>
    <t>FB</t>
  </si>
  <si>
    <t>LAT</t>
  </si>
  <si>
    <t>NFP</t>
  </si>
  <si>
    <t>OBT</t>
  </si>
  <si>
    <t>CXT</t>
  </si>
  <si>
    <t>OMG</t>
  </si>
  <si>
    <t>RDNT</t>
  </si>
  <si>
    <t>KLV</t>
  </si>
  <si>
    <t>PUPS</t>
  </si>
  <si>
    <t>NATIX</t>
  </si>
  <si>
    <t>OGY</t>
  </si>
  <si>
    <t>DADDY</t>
  </si>
  <si>
    <t>IDIA</t>
  </si>
  <si>
    <t>LOKA</t>
  </si>
  <si>
    <t>MNGO</t>
  </si>
  <si>
    <t>D</t>
  </si>
  <si>
    <t>AGT</t>
  </si>
  <si>
    <t>PORT3</t>
  </si>
  <si>
    <t>SIX</t>
  </si>
  <si>
    <t>CULT</t>
  </si>
  <si>
    <t>CAW</t>
  </si>
  <si>
    <t>CTXC</t>
  </si>
  <si>
    <t>PSG</t>
  </si>
  <si>
    <t>CGO</t>
  </si>
  <si>
    <t>EDGE</t>
  </si>
  <si>
    <t>COS</t>
  </si>
  <si>
    <t>STEP</t>
  </si>
  <si>
    <t>OCTA</t>
  </si>
  <si>
    <t>AURA</t>
  </si>
  <si>
    <t>PIB</t>
  </si>
  <si>
    <t>U2U</t>
  </si>
  <si>
    <t>XPRT</t>
  </si>
  <si>
    <t>TROLL</t>
  </si>
  <si>
    <t>WFI</t>
  </si>
  <si>
    <t>DORA</t>
  </si>
  <si>
    <t>ALON</t>
  </si>
  <si>
    <t>BIFI</t>
  </si>
  <si>
    <t>KARATE</t>
  </si>
  <si>
    <t>EFI</t>
  </si>
  <si>
    <t>NURA</t>
  </si>
  <si>
    <t>NXRA</t>
  </si>
  <si>
    <t>MOONPIG</t>
  </si>
  <si>
    <t>AEROBUD</t>
  </si>
  <si>
    <t>CHEQ</t>
  </si>
  <si>
    <t>KOMA</t>
  </si>
  <si>
    <t>PIT</t>
  </si>
  <si>
    <t>vLTC</t>
  </si>
  <si>
    <t>CRETA</t>
  </si>
  <si>
    <t>WRX</t>
  </si>
  <si>
    <t>BXX</t>
  </si>
  <si>
    <t>SNAI</t>
  </si>
  <si>
    <t>HTR</t>
  </si>
  <si>
    <t>vDAI</t>
  </si>
  <si>
    <t>TRAC</t>
  </si>
  <si>
    <t>AST</t>
  </si>
  <si>
    <t>NUB</t>
  </si>
  <si>
    <t>XFI</t>
  </si>
  <si>
    <t>BULL</t>
  </si>
  <si>
    <t>OFN</t>
  </si>
  <si>
    <t>EVZ</t>
  </si>
  <si>
    <t>HERO</t>
  </si>
  <si>
    <t>INTER</t>
  </si>
  <si>
    <t>DPINO</t>
  </si>
  <si>
    <t>VLX</t>
  </si>
  <si>
    <t>ABEL</t>
  </si>
  <si>
    <t>XEP</t>
  </si>
  <si>
    <t>KIN</t>
  </si>
  <si>
    <t>KILO</t>
  </si>
  <si>
    <t>PRAI</t>
  </si>
  <si>
    <t>XRT</t>
  </si>
  <si>
    <t>ALT</t>
  </si>
  <si>
    <t>BCN</t>
  </si>
  <si>
    <t>MNW</t>
  </si>
  <si>
    <t>CPH</t>
  </si>
  <si>
    <t>DINGO</t>
  </si>
  <si>
    <t>IBS</t>
  </si>
  <si>
    <t>AIT</t>
  </si>
  <si>
    <t>BTC2</t>
  </si>
  <si>
    <t>FLIX</t>
  </si>
  <si>
    <t>TRVL</t>
  </si>
  <si>
    <t>BOX</t>
  </si>
  <si>
    <t>AKITA</t>
  </si>
  <si>
    <t>HINT</t>
  </si>
  <si>
    <t>SEN</t>
  </si>
  <si>
    <t>SYLO</t>
  </si>
  <si>
    <t>PORNROCKET</t>
  </si>
  <si>
    <t>HOGE</t>
  </si>
  <si>
    <t>BDP</t>
  </si>
  <si>
    <t>BYTE</t>
  </si>
  <si>
    <t>UBC</t>
  </si>
  <si>
    <t>ADM</t>
  </si>
  <si>
    <t>QUQ</t>
  </si>
  <si>
    <t>GRG</t>
  </si>
  <si>
    <t>SERO</t>
  </si>
  <si>
    <t>LETIT</t>
  </si>
  <si>
    <t>GO</t>
  </si>
  <si>
    <t>BCCOIN</t>
  </si>
  <si>
    <t>HABIBI</t>
  </si>
  <si>
    <t>MBS</t>
  </si>
  <si>
    <t>CTRL</t>
  </si>
  <si>
    <t>DIP</t>
  </si>
  <si>
    <t>RBC</t>
  </si>
  <si>
    <t>BIZA</t>
  </si>
  <si>
    <t>DDBAM</t>
  </si>
  <si>
    <t>RC</t>
  </si>
  <si>
    <t>LAVA</t>
  </si>
  <si>
    <t>DHB</t>
  </si>
  <si>
    <t>MUBARAKAH</t>
  </si>
  <si>
    <t>OTK</t>
  </si>
  <si>
    <t>SSLX</t>
  </si>
  <si>
    <t>ERTHA</t>
  </si>
  <si>
    <t>SAFE</t>
  </si>
  <si>
    <t>BULLY</t>
  </si>
  <si>
    <t>LANLAN</t>
  </si>
  <si>
    <t>XTM</t>
  </si>
  <si>
    <t>HTS</t>
  </si>
  <si>
    <t>$104,058.04</t>
  </si>
  <si>
    <t>$2,483.59</t>
  </si>
  <si>
    <t>$0.9999</t>
  </si>
  <si>
    <t>$2.12</t>
  </si>
  <si>
    <t>$644.79</t>
  </si>
  <si>
    <t>$142.67</t>
  </si>
  <si>
    <t>$0.9998</t>
  </si>
  <si>
    <t>$0.2734</t>
  </si>
  <si>
    <t>$0.1654</t>
  </si>
  <si>
    <t>$0.5808</t>
  </si>
  <si>
    <t>$0.009096</t>
  </si>
  <si>
    <t>$0.4205</t>
  </si>
  <si>
    <t>$2.06</t>
  </si>
  <si>
    <t>$0.5443</t>
  </si>
  <si>
    <t>$0.5207</t>
  </si>
  <si>
    <t>$0.09453</t>
  </si>
  <si>
    <t>$0.3394</t>
  </si>
  <si>
    <t>$0.4626</t>
  </si>
  <si>
    <t>$0.2505</t>
  </si>
  <si>
    <t>$0.9976</t>
  </si>
  <si>
    <t>$4.45</t>
  </si>
  <si>
    <t>$4.32</t>
  </si>
  <si>
    <t>$3.26</t>
  </si>
  <si>
    <t>$1.43</t>
  </si>
  <si>
    <t>$0.9977</t>
  </si>
  <si>
    <t>$1.09</t>
  </si>
  <si>
    <t>$0.9997</t>
  </si>
  <si>
    <t>$0.01647</t>
  </si>
  <si>
    <t>$0.4946</t>
  </si>
  <si>
    <t>$0.0007355</t>
  </si>
  <si>
    <t>$0.1205</t>
  </si>
  <si>
    <t>$0.1336</t>
  </si>
  <si>
    <t>$0.1043</t>
  </si>
  <si>
    <t>$0.05028</t>
  </si>
  <si>
    <t>$0.01148</t>
  </si>
  <si>
    <t>$0.1536</t>
  </si>
  <si>
    <t>$0.1680</t>
  </si>
  <si>
    <t>$0.1111</t>
  </si>
  <si>
    <t>$0.1537</t>
  </si>
  <si>
    <t>$0.01813</t>
  </si>
  <si>
    <t>$0.07198</t>
  </si>
  <si>
    <t>$0.7374</t>
  </si>
  <si>
    <t>$0.001517</t>
  </si>
  <si>
    <t>$0.1538</t>
  </si>
  <si>
    <t>$0.01544</t>
  </si>
  <si>
    <t>$0.09574</t>
  </si>
  <si>
    <t>$0.003229</t>
  </si>
  <si>
    <t>$0.07876</t>
  </si>
  <si>
    <t>$0.04205</t>
  </si>
  <si>
    <t>$0.05947</t>
  </si>
  <si>
    <t>$0.006272</t>
  </si>
  <si>
    <t>$0.006635</t>
  </si>
  <si>
    <t>$0.01177</t>
  </si>
  <si>
    <t>$0.001253</t>
  </si>
  <si>
    <t>$0.08626</t>
  </si>
  <si>
    <t>$1.15</t>
  </si>
  <si>
    <t>$0.00005125</t>
  </si>
  <si>
    <t>$0.002875</t>
  </si>
  <si>
    <t>$9.67</t>
  </si>
  <si>
    <t>$90.45</t>
  </si>
  <si>
    <t>$0.3031</t>
  </si>
  <si>
    <t>$1.26</t>
  </si>
  <si>
    <t>$0.5361</t>
  </si>
  <si>
    <t>$0.001245</t>
  </si>
  <si>
    <t>$0.01497</t>
  </si>
  <si>
    <t>$2.13</t>
  </si>
  <si>
    <t>$2.53</t>
  </si>
  <si>
    <t>$0.02100</t>
  </si>
  <si>
    <t>$0.2442</t>
  </si>
  <si>
    <t>$0.3388</t>
  </si>
  <si>
    <t>$0.2993</t>
  </si>
  <si>
    <t>$0.1401</t>
  </si>
  <si>
    <t>$0.1279</t>
  </si>
  <si>
    <t>$0.5232</t>
  </si>
  <si>
    <t>$0.003926</t>
  </si>
  <si>
    <t>$0.05651</t>
  </si>
  <si>
    <t>$0.008376</t>
  </si>
  <si>
    <t>$0.02654</t>
  </si>
  <si>
    <t>$0.1841</t>
  </si>
  <si>
    <t>$0.02085</t>
  </si>
  <si>
    <t>$0.002244</t>
  </si>
  <si>
    <t>$0.02041</t>
  </si>
  <si>
    <t>$0.001223</t>
  </si>
  <si>
    <t>$0.002523</t>
  </si>
  <si>
    <t>$0.03288</t>
  </si>
  <si>
    <t>$0.02881</t>
  </si>
  <si>
    <t>$0.05197</t>
  </si>
  <si>
    <t>$0.01749</t>
  </si>
  <si>
    <t>$0.03010</t>
  </si>
  <si>
    <t>$0.01390</t>
  </si>
  <si>
    <t>$0.04410</t>
  </si>
  <si>
    <t>$0.01837</t>
  </si>
  <si>
    <t>$0.053611</t>
  </si>
  <si>
    <t>$0.071993</t>
  </si>
  <si>
    <t>$0.06667</t>
  </si>
  <si>
    <t>$1.60</t>
  </si>
  <si>
    <t>$108.17</t>
  </si>
  <si>
    <t>$0.07508</t>
  </si>
  <si>
    <t>$0.002934</t>
  </si>
  <si>
    <t>$0.06844</t>
  </si>
  <si>
    <t>$0.3211</t>
  </si>
  <si>
    <t>$0.1823</t>
  </si>
  <si>
    <t>$0.0004951</t>
  </si>
  <si>
    <t>$0.007830</t>
  </si>
  <si>
    <t>$0.05599</t>
  </si>
  <si>
    <t>$0.01193</t>
  </si>
  <si>
    <t>$0.4212</t>
  </si>
  <si>
    <t>$0.02198</t>
  </si>
  <si>
    <t>$0.01163</t>
  </si>
  <si>
    <t>$146.92</t>
  </si>
  <si>
    <t>$0.0001392</t>
  </si>
  <si>
    <t>$0.1065</t>
  </si>
  <si>
    <t>$0.001881</t>
  </si>
  <si>
    <t>$0.009059</t>
  </si>
  <si>
    <t>$0.009443</t>
  </si>
  <si>
    <t>$0.009081</t>
  </si>
  <si>
    <t>$0.009401</t>
  </si>
  <si>
    <t>$0.01413</t>
  </si>
  <si>
    <t>$0.01661</t>
  </si>
  <si>
    <t>$0.092256</t>
  </si>
  <si>
    <t>$1.69</t>
  </si>
  <si>
    <t>$0.03494</t>
  </si>
  <si>
    <t>$0.004794</t>
  </si>
  <si>
    <t>$0.01839</t>
  </si>
  <si>
    <t>$0.03672</t>
  </si>
  <si>
    <t>$0.007788</t>
  </si>
  <si>
    <t>$0.01508</t>
  </si>
  <si>
    <t>$0.02534</t>
  </si>
  <si>
    <t>$0.3309</t>
  </si>
  <si>
    <t>$0.03958</t>
  </si>
  <si>
    <t>$0.005521</t>
  </si>
  <si>
    <t>$0.09003</t>
  </si>
  <si>
    <t>$0.005448</t>
  </si>
  <si>
    <t>$0.02954</t>
  </si>
  <si>
    <t>$0.002286</t>
  </si>
  <si>
    <t>$0.001011</t>
  </si>
  <si>
    <t>$0.5306</t>
  </si>
  <si>
    <t>$0.005187</t>
  </si>
  <si>
    <t>$0.001885</t>
  </si>
  <si>
    <t>$0.04980</t>
  </si>
  <si>
    <t>$0.0002248</t>
  </si>
  <si>
    <t>$0.051470</t>
  </si>
  <si>
    <t>$0.01908</t>
  </si>
  <si>
    <t>$0.01953</t>
  </si>
  <si>
    <t>$0.053982</t>
  </si>
  <si>
    <t>$2.34</t>
  </si>
  <si>
    <t>$0.03321</t>
  </si>
  <si>
    <t>$0.00002164</t>
  </si>
  <si>
    <t>$0.08283</t>
  </si>
  <si>
    <t>$0.5305</t>
  </si>
  <si>
    <t>$0.008445</t>
  </si>
  <si>
    <t>$0.00002837</t>
  </si>
  <si>
    <t>$0.0008030</t>
  </si>
  <si>
    <t>$0.01094</t>
  </si>
  <si>
    <t>$0.1761</t>
  </si>
  <si>
    <t>$0.01286</t>
  </si>
  <si>
    <t>$0.007706</t>
  </si>
  <si>
    <t>$0.01060</t>
  </si>
  <si>
    <t>$0.074697</t>
  </si>
  <si>
    <t>$0.006908</t>
  </si>
  <si>
    <t>$0.02632</t>
  </si>
  <si>
    <t>$0.0004232</t>
  </si>
  <si>
    <t>$0.086727</t>
  </si>
  <si>
    <t>$0.002296</t>
  </si>
  <si>
    <t>$0.056380</t>
  </si>
  <si>
    <t>$0.04844</t>
  </si>
  <si>
    <t>$0.052624</t>
  </si>
  <si>
    <t>$0.002527</t>
  </si>
  <si>
    <t>$0.02283</t>
  </si>
  <si>
    <t>$0.002602</t>
  </si>
  <si>
    <t>$0.01772</t>
  </si>
  <si>
    <t>$0.002003</t>
  </si>
  <si>
    <t>$0.7384</t>
  </si>
  <si>
    <t>$0.002032</t>
  </si>
  <si>
    <t>$0.004565</t>
  </si>
  <si>
    <t>$0.03101</t>
  </si>
  <si>
    <t>$0.001507</t>
  </si>
  <si>
    <t>$0.1976</t>
  </si>
  <si>
    <t>$0.002419</t>
  </si>
  <si>
    <t>$0.003149</t>
  </si>
  <si>
    <t>$0.007828</t>
  </si>
  <si>
    <t>$0.006649</t>
  </si>
  <si>
    <t>$0.009631</t>
  </si>
  <si>
    <t>$0.0005920</t>
  </si>
  <si>
    <t>$0.003410</t>
  </si>
  <si>
    <t>$0.07514</t>
  </si>
  <si>
    <t>$0.007633</t>
  </si>
  <si>
    <t>$0.006391</t>
  </si>
  <si>
    <t>$0.0003842</t>
  </si>
  <si>
    <t>$0.001565</t>
  </si>
  <si>
    <t>$0.0004246</t>
  </si>
  <si>
    <t>$0.004085</t>
  </si>
  <si>
    <t>$0.0004946</t>
  </si>
  <si>
    <t>$0.0006265</t>
  </si>
  <si>
    <t>$0.04456</t>
  </si>
  <si>
    <t>$0.001286</t>
  </si>
  <si>
    <t>$0.0001380</t>
  </si>
  <si>
    <t>$0.006238</t>
  </si>
  <si>
    <t>$0.001220</t>
  </si>
  <si>
    <t>$0.01532</t>
  </si>
  <si>
    <t>$2.07T</t>
  </si>
  <si>
    <t>$299.51B</t>
  </si>
  <si>
    <t>$155.95B</t>
  </si>
  <si>
    <t>$125.42B</t>
  </si>
  <si>
    <t>$90.84B</t>
  </si>
  <si>
    <t>$75.33B</t>
  </si>
  <si>
    <t>$61.23B</t>
  </si>
  <si>
    <t>$25.93B</t>
  </si>
  <si>
    <t>$24.77B</t>
  </si>
  <si>
    <t>$20.54B</t>
  </si>
  <si>
    <t>$571.84M</t>
  </si>
  <si>
    <t>$567M</t>
  </si>
  <si>
    <t>$551.36M</t>
  </si>
  <si>
    <t>$546.45M</t>
  </si>
  <si>
    <t>$545.72M</t>
  </si>
  <si>
    <t>$543.57M</t>
  </si>
  <si>
    <t>$539.91M</t>
  </si>
  <si>
    <t>$515.17M</t>
  </si>
  <si>
    <t>$493.58M</t>
  </si>
  <si>
    <t>$493.33M</t>
  </si>
  <si>
    <t>$1.95B</t>
  </si>
  <si>
    <t>$1.49B</t>
  </si>
  <si>
    <t>$846.7M</t>
  </si>
  <si>
    <t>$677.19M</t>
  </si>
  <si>
    <t>$652.01M</t>
  </si>
  <si>
    <t>$635.98M</t>
  </si>
  <si>
    <t>$563.5M</t>
  </si>
  <si>
    <t>$546.47M</t>
  </si>
  <si>
    <t>$494.41M</t>
  </si>
  <si>
    <t>$478.12M</t>
  </si>
  <si>
    <t>$110.11M</t>
  </si>
  <si>
    <t>$110.12M</t>
  </si>
  <si>
    <t>$109.85M</t>
  </si>
  <si>
    <t>$109.59M</t>
  </si>
  <si>
    <t>$109.13M</t>
  </si>
  <si>
    <t>$109.06M</t>
  </si>
  <si>
    <t>$108.68M</t>
  </si>
  <si>
    <t>$108.35M</t>
  </si>
  <si>
    <t>$108.02M</t>
  </si>
  <si>
    <t>$107.06M</t>
  </si>
  <si>
    <t>$72.72M</t>
  </si>
  <si>
    <t>$72.68M</t>
  </si>
  <si>
    <t>$72.35M</t>
  </si>
  <si>
    <t>$72.36M</t>
  </si>
  <si>
    <t>$72.37M</t>
  </si>
  <si>
    <t>$71.81M</t>
  </si>
  <si>
    <t>$71.33M</t>
  </si>
  <si>
    <t>$71.27M</t>
  </si>
  <si>
    <t>$71.5M</t>
  </si>
  <si>
    <t>$71.47M</t>
  </si>
  <si>
    <t>$56.45M</t>
  </si>
  <si>
    <t>$51.76M</t>
  </si>
  <si>
    <t>$51.5M</t>
  </si>
  <si>
    <t>$51.48M</t>
  </si>
  <si>
    <t>$51.37M</t>
  </si>
  <si>
    <t>$51.31M</t>
  </si>
  <si>
    <t>$51.26M</t>
  </si>
  <si>
    <t>$50.98M</t>
  </si>
  <si>
    <t>$50.88M</t>
  </si>
  <si>
    <t>$50.56M</t>
  </si>
  <si>
    <t>$37.1M</t>
  </si>
  <si>
    <t>$36.94M</t>
  </si>
  <si>
    <t>$36.9M</t>
  </si>
  <si>
    <t>$36.78M</t>
  </si>
  <si>
    <t>$36.73M</t>
  </si>
  <si>
    <t>$36.4M</t>
  </si>
  <si>
    <t>$36.37M</t>
  </si>
  <si>
    <t>$35.98M</t>
  </si>
  <si>
    <t>$35.96M</t>
  </si>
  <si>
    <t>$35.84M</t>
  </si>
  <si>
    <t>$26.28M</t>
  </si>
  <si>
    <t>$26.22M</t>
  </si>
  <si>
    <t>$26.07M</t>
  </si>
  <si>
    <t>$26.15M</t>
  </si>
  <si>
    <t>$25.94M</t>
  </si>
  <si>
    <t>$25.85M</t>
  </si>
  <si>
    <t>$25.97M</t>
  </si>
  <si>
    <t>$25.88M</t>
  </si>
  <si>
    <t>$25.83M</t>
  </si>
  <si>
    <t>$25.73M</t>
  </si>
  <si>
    <t>$19.94M</t>
  </si>
  <si>
    <t>$19.77M</t>
  </si>
  <si>
    <t>$19.74M</t>
  </si>
  <si>
    <t>$19.76M</t>
  </si>
  <si>
    <t>$19.72M</t>
  </si>
  <si>
    <t>$19.6M</t>
  </si>
  <si>
    <t>$19.56M</t>
  </si>
  <si>
    <t>$19.55M</t>
  </si>
  <si>
    <t>$19.51M</t>
  </si>
  <si>
    <t>$19.47M</t>
  </si>
  <si>
    <t>$15.61M</t>
  </si>
  <si>
    <t>$15.63M</t>
  </si>
  <si>
    <t>$15.6M</t>
  </si>
  <si>
    <t>$15.35M</t>
  </si>
  <si>
    <t>$15.36M</t>
  </si>
  <si>
    <t>$15.31M</t>
  </si>
  <si>
    <t>$15.25M</t>
  </si>
  <si>
    <t>$15.19M</t>
  </si>
  <si>
    <t>$15.15M</t>
  </si>
  <si>
    <t>$11.95M</t>
  </si>
  <si>
    <t>$11.96M</t>
  </si>
  <si>
    <t>$11.92M</t>
  </si>
  <si>
    <t>$11.85M</t>
  </si>
  <si>
    <t>$11.81M</t>
  </si>
  <si>
    <t>$11.61M</t>
  </si>
  <si>
    <t>$11.75M</t>
  </si>
  <si>
    <t>$9.28M</t>
  </si>
  <si>
    <t>$9.26M</t>
  </si>
  <si>
    <t>$9.17M</t>
  </si>
  <si>
    <t>$9.25M</t>
  </si>
  <si>
    <t>$9.08M</t>
  </si>
  <si>
    <t>$9.12M</t>
  </si>
  <si>
    <t>$9.07M</t>
  </si>
  <si>
    <t>$7.04M</t>
  </si>
  <si>
    <t>$7.03M</t>
  </si>
  <si>
    <t>$7.02M</t>
  </si>
  <si>
    <t>$6.99M</t>
  </si>
  <si>
    <t>$6.96M</t>
  </si>
  <si>
    <t>$6.95M</t>
  </si>
  <si>
    <t>$6.91M</t>
  </si>
  <si>
    <t>$5.25M</t>
  </si>
  <si>
    <t>$5.24M</t>
  </si>
  <si>
    <t>$5.18M</t>
  </si>
  <si>
    <t>$5.17M</t>
  </si>
  <si>
    <t>$5.16M</t>
  </si>
  <si>
    <t>$5.15M</t>
  </si>
  <si>
    <t>$5.14M</t>
  </si>
  <si>
    <t>$5.11M</t>
  </si>
  <si>
    <t>$4.1M</t>
  </si>
  <si>
    <t>$4.06M</t>
  </si>
  <si>
    <t>$4.04M</t>
  </si>
  <si>
    <t>$4.02M</t>
  </si>
  <si>
    <t>$3.98M</t>
  </si>
  <si>
    <t>$4M</t>
  </si>
  <si>
    <t>$3.99M</t>
  </si>
  <si>
    <t>$3.97M</t>
  </si>
  <si>
    <t>$3.94M</t>
  </si>
  <si>
    <t>$3.23M</t>
  </si>
  <si>
    <t>$3.22M</t>
  </si>
  <si>
    <t>$3.21M</t>
  </si>
  <si>
    <t>$3.2M</t>
  </si>
  <si>
    <t>$3.18M</t>
  </si>
  <si>
    <t>$2.58M</t>
  </si>
  <si>
    <t>$2.57M</t>
  </si>
  <si>
    <t>$2.51M</t>
  </si>
  <si>
    <t>$2.56M</t>
  </si>
  <si>
    <t>$2.53M</t>
  </si>
  <si>
    <t>$2.52M</t>
  </si>
  <si>
    <t>$2M</t>
  </si>
  <si>
    <t>$1.99M</t>
  </si>
  <si>
    <t>$1.98M</t>
  </si>
  <si>
    <t>$1.97M</t>
  </si>
  <si>
    <t>$1.6M</t>
  </si>
  <si>
    <t>$1.59M</t>
  </si>
  <si>
    <t>$1.58M</t>
  </si>
  <si>
    <t>$1.57M</t>
  </si>
  <si>
    <t>$1.24M</t>
  </si>
  <si>
    <t>$1.23M</t>
  </si>
  <si>
    <t>$1.21M</t>
  </si>
  <si>
    <t>$1.22M</t>
  </si>
  <si>
    <t>$43,170,391,288</t>
  </si>
  <si>
    <t>$14,942,260,356</t>
  </si>
  <si>
    <t>$60,772,601,456</t>
  </si>
  <si>
    <t>$2,046,333,328</t>
  </si>
  <si>
    <t>$1,497,928,447</t>
  </si>
  <si>
    <t>$2,904,341,748</t>
  </si>
  <si>
    <t>$8,208,315,257</t>
  </si>
  <si>
    <t>$445,406,337</t>
  </si>
  <si>
    <t>$781,433,558</t>
  </si>
  <si>
    <t>$539,447,597</t>
  </si>
  <si>
    <t>$60,468,868</t>
  </si>
  <si>
    <t>$22,854,744</t>
  </si>
  <si>
    <t>$110,228,545</t>
  </si>
  <si>
    <t>$14,386,742</t>
  </si>
  <si>
    <t>$14,355,952</t>
  </si>
  <si>
    <t>$27,917,564</t>
  </si>
  <si>
    <t>$21,157,648</t>
  </si>
  <si>
    <t>$70,946,476</t>
  </si>
  <si>
    <t>$25,685,731</t>
  </si>
  <si>
    <t>$60,347,807</t>
  </si>
  <si>
    <t>$58,305,626</t>
  </si>
  <si>
    <t>$17,245,756</t>
  </si>
  <si>
    <t>$486,945</t>
  </si>
  <si>
    <t>$2,595,867</t>
  </si>
  <si>
    <t>$6,754,108</t>
  </si>
  <si>
    <t>$2,293,702</t>
  </si>
  <si>
    <t>$3,265,776</t>
  </si>
  <si>
    <t>$183,208</t>
  </si>
  <si>
    <t>$138,536</t>
  </si>
  <si>
    <t>$772,538</t>
  </si>
  <si>
    <t>$4,884,866</t>
  </si>
  <si>
    <t>$3,268,919</t>
  </si>
  <si>
    <t>$4,086,544</t>
  </si>
  <si>
    <t>$5,574,946</t>
  </si>
  <si>
    <t>$6,571,559</t>
  </si>
  <si>
    <t>$11,365,168</t>
  </si>
  <si>
    <t>$44,129,611</t>
  </si>
  <si>
    <t>$1,068,402</t>
  </si>
  <si>
    <t>$7,215,924</t>
  </si>
  <si>
    <t>$8,143,928</t>
  </si>
  <si>
    <t>$25,758,134</t>
  </si>
  <si>
    <t>$522,812</t>
  </si>
  <si>
    <t>$15,717,380</t>
  </si>
  <si>
    <t>$4,873,644</t>
  </si>
  <si>
    <t>$1,356,568</t>
  </si>
  <si>
    <t>$9,190,572</t>
  </si>
  <si>
    <t>$7,399,528</t>
  </si>
  <si>
    <t>$12,716,009</t>
  </si>
  <si>
    <t>$135,025,163</t>
  </si>
  <si>
    <t>$12,909</t>
  </si>
  <si>
    <t>$16,850,030</t>
  </si>
  <si>
    <t>$448,016</t>
  </si>
  <si>
    <t>$817,224</t>
  </si>
  <si>
    <t>$5,590,436</t>
  </si>
  <si>
    <t>$2,536,218</t>
  </si>
  <si>
    <t>$22,680,605</t>
  </si>
  <si>
    <t>$1,414,981</t>
  </si>
  <si>
    <t>$3,358,220</t>
  </si>
  <si>
    <t>$101,491</t>
  </si>
  <si>
    <t>$21,125</t>
  </si>
  <si>
    <t>$17,173</t>
  </si>
  <si>
    <t>$1,913,531</t>
  </si>
  <si>
    <t>$5,008,504</t>
  </si>
  <si>
    <t>$1,669,915</t>
  </si>
  <si>
    <t>$260,802</t>
  </si>
  <si>
    <t>$867,656</t>
  </si>
  <si>
    <t>$2,914,375</t>
  </si>
  <si>
    <t>$252,063</t>
  </si>
  <si>
    <t>$3,564,164</t>
  </si>
  <si>
    <t>$8,693,511</t>
  </si>
  <si>
    <t>$254,347</t>
  </si>
  <si>
    <t>$2,161,326</t>
  </si>
  <si>
    <t>$33,236,555</t>
  </si>
  <si>
    <t>$5,485,485</t>
  </si>
  <si>
    <t>$4,157,460</t>
  </si>
  <si>
    <t>$3,148,017</t>
  </si>
  <si>
    <t>$40,860,347</t>
  </si>
  <si>
    <t>$2,231,412</t>
  </si>
  <si>
    <t>$3,675,488</t>
  </si>
  <si>
    <t>$5,290,020</t>
  </si>
  <si>
    <t>$2,554,402</t>
  </si>
  <si>
    <t>$174,082</t>
  </si>
  <si>
    <t>$362,962</t>
  </si>
  <si>
    <t>$268,389</t>
  </si>
  <si>
    <t>$999,710</t>
  </si>
  <si>
    <t>$47</t>
  </si>
  <si>
    <t>$2,452,497</t>
  </si>
  <si>
    <t>$45</t>
  </si>
  <si>
    <t>$2,760,725</t>
  </si>
  <si>
    <t>$7,675,089</t>
  </si>
  <si>
    <t>$4,797,522</t>
  </si>
  <si>
    <t>$884,405</t>
  </si>
  <si>
    <t>$191,600</t>
  </si>
  <si>
    <t>$326,498</t>
  </si>
  <si>
    <t>$3,645,223</t>
  </si>
  <si>
    <t>$3,216,530</t>
  </si>
  <si>
    <t>$1,639,272</t>
  </si>
  <si>
    <t>$1,739,142</t>
  </si>
  <si>
    <t>$2,771,456</t>
  </si>
  <si>
    <t>$128,760</t>
  </si>
  <si>
    <t>$654,812</t>
  </si>
  <si>
    <t>$3,185</t>
  </si>
  <si>
    <t>$4,772</t>
  </si>
  <si>
    <t>$680,959</t>
  </si>
  <si>
    <t>$2,332,177</t>
  </si>
  <si>
    <t>$2,707,699</t>
  </si>
  <si>
    <t>$708,276</t>
  </si>
  <si>
    <t>$1,407,422</t>
  </si>
  <si>
    <t>$1,737,116</t>
  </si>
  <si>
    <t>$525,209</t>
  </si>
  <si>
    <t>$202,163</t>
  </si>
  <si>
    <t>N/A</t>
  </si>
  <si>
    <t>$7,687,892</t>
  </si>
  <si>
    <t>$75,137</t>
  </si>
  <si>
    <t>$1,315,522</t>
  </si>
  <si>
    <t>$8,504,736</t>
  </si>
  <si>
    <t>$232,710</t>
  </si>
  <si>
    <t>$351,905</t>
  </si>
  <si>
    <t>$1,959,456</t>
  </si>
  <si>
    <t>$196,385</t>
  </si>
  <si>
    <t>$3,410,421</t>
  </si>
  <si>
    <t>$191,443</t>
  </si>
  <si>
    <t>$166,190</t>
  </si>
  <si>
    <t>$43,739</t>
  </si>
  <si>
    <t>$2,191,863</t>
  </si>
  <si>
    <t>$495,661</t>
  </si>
  <si>
    <t>$721,629</t>
  </si>
  <si>
    <t>$2,431,321</t>
  </si>
  <si>
    <t>$973,654</t>
  </si>
  <si>
    <t>$955,799</t>
  </si>
  <si>
    <t>$1,056,108</t>
  </si>
  <si>
    <t>$153,889</t>
  </si>
  <si>
    <t>$130,770</t>
  </si>
  <si>
    <t>$432,080</t>
  </si>
  <si>
    <t>$697,351</t>
  </si>
  <si>
    <t>$17,403</t>
  </si>
  <si>
    <t>$392,111</t>
  </si>
  <si>
    <t>$75,107</t>
  </si>
  <si>
    <t>$193,524</t>
  </si>
  <si>
    <t>$168,650</t>
  </si>
  <si>
    <t>$4,760,489</t>
  </si>
  <si>
    <t>$4,951,893</t>
  </si>
  <si>
    <t>$727,913</t>
  </si>
  <si>
    <t>$49,144</t>
  </si>
  <si>
    <t>$14,376</t>
  </si>
  <si>
    <t>$658</t>
  </si>
  <si>
    <t>$5,822</t>
  </si>
  <si>
    <t>$85,411</t>
  </si>
  <si>
    <t>$2,100</t>
  </si>
  <si>
    <t>$157,680</t>
  </si>
  <si>
    <t>$72,433</t>
  </si>
  <si>
    <t>$117,948</t>
  </si>
  <si>
    <t>$1,614</t>
  </si>
  <si>
    <t>$1,659</t>
  </si>
  <si>
    <t>$220,065</t>
  </si>
  <si>
    <t>$155,287</t>
  </si>
  <si>
    <t>$239,395</t>
  </si>
  <si>
    <t>$977,333</t>
  </si>
  <si>
    <t>$721,481</t>
  </si>
  <si>
    <t>$1,422,530</t>
  </si>
  <si>
    <t>$107,281</t>
  </si>
  <si>
    <t>$465</t>
  </si>
  <si>
    <t>$174,927</t>
  </si>
  <si>
    <t>$287</t>
  </si>
  <si>
    <t>$274,603</t>
  </si>
  <si>
    <t>$69,191</t>
  </si>
  <si>
    <t>$34,103</t>
  </si>
  <si>
    <t>$1,983,713</t>
  </si>
  <si>
    <t>$944,920</t>
  </si>
  <si>
    <t>$25,840</t>
  </si>
  <si>
    <t>$290,910</t>
  </si>
  <si>
    <t>$1,872</t>
  </si>
  <si>
    <t>$117,957</t>
  </si>
  <si>
    <t>$858,809</t>
  </si>
  <si>
    <t>$62,197</t>
  </si>
  <si>
    <t>$109,870</t>
  </si>
  <si>
    <t>$106,039</t>
  </si>
  <si>
    <t>$36</t>
  </si>
  <si>
    <t>$201,257</t>
  </si>
  <si>
    <t>$1,660,204</t>
  </si>
  <si>
    <t>$115,234</t>
  </si>
  <si>
    <t>$119,741</t>
  </si>
  <si>
    <t>$43,846</t>
  </si>
  <si>
    <t>$606,685</t>
  </si>
  <si>
    <t>$86,086</t>
  </si>
  <si>
    <t>$11,736</t>
  </si>
  <si>
    <t>$150,756</t>
  </si>
  <si>
    <t>$1,332,029</t>
  </si>
  <si>
    <t>$18</t>
  </si>
  <si>
    <t>$395,470</t>
  </si>
  <si>
    <t>$1,609,979</t>
  </si>
  <si>
    <t>$32,118</t>
  </si>
  <si>
    <t>$2,223,596</t>
  </si>
  <si>
    <t>$1,855</t>
  </si>
  <si>
    <t>19.88M</t>
  </si>
  <si>
    <t>120.72M</t>
  </si>
  <si>
    <t>155.94B</t>
  </si>
  <si>
    <t>58.93B</t>
  </si>
  <si>
    <t>140.88M</t>
  </si>
  <si>
    <t>527.96M</t>
  </si>
  <si>
    <t>61.23B</t>
  </si>
  <si>
    <t>94.82B</t>
  </si>
  <si>
    <t>149.76B</t>
  </si>
  <si>
    <t>35.36B</t>
  </si>
  <si>
    <t>62.86B</t>
  </si>
  <si>
    <t>1.34B</t>
  </si>
  <si>
    <t>267.62M</t>
  </si>
  <si>
    <t>1B</t>
  </si>
  <si>
    <t>1.04B</t>
  </si>
  <si>
    <t>5.74B</t>
  </si>
  <si>
    <t>1.59B</t>
  </si>
  <si>
    <t>1.11B</t>
  </si>
  <si>
    <t>1.96B</t>
  </si>
  <si>
    <t>494.51M</t>
  </si>
  <si>
    <t>436.26M</t>
  </si>
  <si>
    <t>343.49M</t>
  </si>
  <si>
    <t>258.97M</t>
  </si>
  <si>
    <t>471.87M</t>
  </si>
  <si>
    <t>653.46M</t>
  </si>
  <si>
    <t>581.35M</t>
  </si>
  <si>
    <t>563.65M</t>
  </si>
  <si>
    <t>33.16B</t>
  </si>
  <si>
    <t>999.45M</t>
  </si>
  <si>
    <t>650B</t>
  </si>
  <si>
    <t>913.69M</t>
  </si>
  <si>
    <t>824.21M</t>
  </si>
  <si>
    <t>1.05B</t>
  </si>
  <si>
    <t>2.17B</t>
  </si>
  <si>
    <t>9.5B</t>
  </si>
  <si>
    <t>709.98M</t>
  </si>
  <si>
    <t>646.86M</t>
  </si>
  <si>
    <t>974.94M</t>
  </si>
  <si>
    <t>702.77M</t>
  </si>
  <si>
    <t>5.9B</t>
  </si>
  <si>
    <t>1.01B</t>
  </si>
  <si>
    <t>98.55M</t>
  </si>
  <si>
    <t>47.67B</t>
  </si>
  <si>
    <t>470.44M</t>
  </si>
  <si>
    <t>4.68B</t>
  </si>
  <si>
    <t>749.99M</t>
  </si>
  <si>
    <t>22.09B</t>
  </si>
  <si>
    <t>904.86M</t>
  </si>
  <si>
    <t>1.7B</t>
  </si>
  <si>
    <t>1.2B</t>
  </si>
  <si>
    <t>8.99B</t>
  </si>
  <si>
    <t>7.8B</t>
  </si>
  <si>
    <t>4.37B</t>
  </si>
  <si>
    <t>41.08B</t>
  </si>
  <si>
    <t>595.52M</t>
  </si>
  <si>
    <t>44.52M</t>
  </si>
  <si>
    <t>1T</t>
  </si>
  <si>
    <t>17.72B</t>
  </si>
  <si>
    <t>5.26M</t>
  </si>
  <si>
    <t>558.98K</t>
  </si>
  <si>
    <t>122.34M</t>
  </si>
  <si>
    <t>29.27M</t>
  </si>
  <si>
    <t>68.83M</t>
  </si>
  <si>
    <t>29.54B</t>
  </si>
  <si>
    <t>2.45B</t>
  </si>
  <si>
    <t>17.07M</t>
  </si>
  <si>
    <t>14.34M</t>
  </si>
  <si>
    <t>1.71B</t>
  </si>
  <si>
    <t>147.24M</t>
  </si>
  <si>
    <t>105.76M</t>
  </si>
  <si>
    <t>87.8M</t>
  </si>
  <si>
    <t>187.11M</t>
  </si>
  <si>
    <t>203.75M</t>
  </si>
  <si>
    <t>49.97M</t>
  </si>
  <si>
    <t>6.6B</t>
  </si>
  <si>
    <t>457.31M</t>
  </si>
  <si>
    <t>3.1B</t>
  </si>
  <si>
    <t>974.89M</t>
  </si>
  <si>
    <t>140.24M</t>
  </si>
  <si>
    <t>1.23B</t>
  </si>
  <si>
    <t>8.88B</t>
  </si>
  <si>
    <t>968.44M</t>
  </si>
  <si>
    <t>16.13B</t>
  </si>
  <si>
    <t>7.82B</t>
  </si>
  <si>
    <t>599.63M</t>
  </si>
  <si>
    <t>680M</t>
  </si>
  <si>
    <t>376.38M</t>
  </si>
  <si>
    <t>647.87M</t>
  </si>
  <si>
    <t>1.4B</t>
  </si>
  <si>
    <t>353.95M</t>
  </si>
  <si>
    <t>850.96M</t>
  </si>
  <si>
    <t>4.31T</t>
  </si>
  <si>
    <t>769.86T</t>
  </si>
  <si>
    <t>230.41M</t>
  </si>
  <si>
    <t>9.55M</t>
  </si>
  <si>
    <t>141K</t>
  </si>
  <si>
    <t>203.02M</t>
  </si>
  <si>
    <t>5.17B</t>
  </si>
  <si>
    <t>221.4M</t>
  </si>
  <si>
    <t>37.22M</t>
  </si>
  <si>
    <t>65.6M</t>
  </si>
  <si>
    <t>24.15B</t>
  </si>
  <si>
    <t>1.52B</t>
  </si>
  <si>
    <t>213.36M</t>
  </si>
  <si>
    <t>998.98M</t>
  </si>
  <si>
    <t>28.13M</t>
  </si>
  <si>
    <t>537.27M</t>
  </si>
  <si>
    <t>997.96M</t>
  </si>
  <si>
    <t>80K</t>
  </si>
  <si>
    <t>66.64B</t>
  </si>
  <si>
    <t>86.91M</t>
  </si>
  <si>
    <t>4.87B</t>
  </si>
  <si>
    <t>1.02B</t>
  </si>
  <si>
    <t>979.12M</t>
  </si>
  <si>
    <t>999.93M</t>
  </si>
  <si>
    <t>970M</t>
  </si>
  <si>
    <t>642.49M</t>
  </si>
  <si>
    <t>545.96M</t>
  </si>
  <si>
    <t>40.19P</t>
  </si>
  <si>
    <t>4.14M</t>
  </si>
  <si>
    <t>201.31M</t>
  </si>
  <si>
    <t>1.46B</t>
  </si>
  <si>
    <t>381.85M</t>
  </si>
  <si>
    <t>191.31M</t>
  </si>
  <si>
    <t>902.46M</t>
  </si>
  <si>
    <t>463.58M</t>
  </si>
  <si>
    <t>274.53M</t>
  </si>
  <si>
    <t>21M</t>
  </si>
  <si>
    <t>174.47M</t>
  </si>
  <si>
    <t>950M</t>
  </si>
  <si>
    <t>58.23M</t>
  </si>
  <si>
    <t>950.27M</t>
  </si>
  <si>
    <t>174.84M</t>
  </si>
  <si>
    <t>2.25B</t>
  </si>
  <si>
    <t>5.09B</t>
  </si>
  <si>
    <t>9.7M</t>
  </si>
  <si>
    <t>991.83M</t>
  </si>
  <si>
    <t>2.72B</t>
  </si>
  <si>
    <t>102.56M</t>
  </si>
  <si>
    <t>18.21B</t>
  </si>
  <si>
    <t>2.75T</t>
  </si>
  <si>
    <t>211.7M</t>
  </si>
  <si>
    <t>206.03M</t>
  </si>
  <si>
    <t>999.97B</t>
  </si>
  <si>
    <t>1.7M</t>
  </si>
  <si>
    <t>120M</t>
  </si>
  <si>
    <t>184.06B</t>
  </si>
  <si>
    <t>47.89M</t>
  </si>
  <si>
    <t>7.43M</t>
  </si>
  <si>
    <t>382.95M</t>
  </si>
  <si>
    <t>113.75B</t>
  </si>
  <si>
    <t>4.02B</t>
  </si>
  <si>
    <t>294.58M</t>
  </si>
  <si>
    <t>18.34M</t>
  </si>
  <si>
    <t>250.75M</t>
  </si>
  <si>
    <t>416.64M</t>
  </si>
  <si>
    <t>302.73M</t>
  </si>
  <si>
    <t>68.07T</t>
  </si>
  <si>
    <t>460.37M</t>
  </si>
  <si>
    <t>98M</t>
  </si>
  <si>
    <t>6.08B</t>
  </si>
  <si>
    <t>382.55T</t>
  </si>
  <si>
    <t>393.4B</t>
  </si>
  <si>
    <t>52.85M</t>
  </si>
  <si>
    <t>964.46B</t>
  </si>
  <si>
    <t>110.37M</t>
  </si>
  <si>
    <t>967.15M</t>
  </si>
  <si>
    <t>112.88M</t>
  </si>
  <si>
    <t>2.7M</t>
  </si>
  <si>
    <t>978.95M</t>
  </si>
  <si>
    <t>436.07M</t>
  </si>
  <si>
    <t>63.99M</t>
  </si>
  <si>
    <t>1.31B</t>
  </si>
  <si>
    <t>10M</t>
  </si>
  <si>
    <t>814.34M</t>
  </si>
  <si>
    <t>625.43M</t>
  </si>
  <si>
    <t>203.92M</t>
  </si>
  <si>
    <t>239.74M</t>
  </si>
  <si>
    <t>165.28M</t>
  </si>
  <si>
    <t>2.67B</t>
  </si>
  <si>
    <t>462.04M</t>
  </si>
  <si>
    <t>206.35M</t>
  </si>
  <si>
    <t>245.89M</t>
  </si>
  <si>
    <t>4.07B</t>
  </si>
  <si>
    <t>2.91B</t>
  </si>
  <si>
    <t>303.13M</t>
  </si>
  <si>
    <t>2.5B</t>
  </si>
  <si>
    <t>1.97B</t>
  </si>
  <si>
    <t>27.73M</t>
  </si>
  <si>
    <t>960.55M</t>
  </si>
  <si>
    <t>194.09M</t>
  </si>
  <si>
    <t>79.5M</t>
  </si>
  <si>
    <t>Allowed coin</t>
  </si>
  <si>
    <t>volume num</t>
  </si>
  <si>
    <t>Volume Num</t>
  </si>
  <si>
    <t>Please open in working hours (9 am to 5 pm)</t>
  </si>
  <si>
    <t>CRYPTO ANALYSIS DASHBOARD</t>
  </si>
  <si>
    <t xml:space="preserve">coin 2 </t>
  </si>
  <si>
    <t>field</t>
  </si>
  <si>
    <t xml:space="preserve">coin 1 </t>
  </si>
  <si>
    <t>symbol</t>
  </si>
  <si>
    <t>price</t>
  </si>
  <si>
    <t>volume</t>
  </si>
  <si>
    <t>market cap</t>
  </si>
  <si>
    <t>circulating supply</t>
  </si>
  <si>
    <t>Volume Difference</t>
  </si>
  <si>
    <t>Market Cap Difference</t>
  </si>
  <si>
    <t>Supply Difference</t>
  </si>
  <si>
    <t>CRYPTO COIN COMPARISON DASHBOARD</t>
  </si>
  <si>
    <t>coin 1 name</t>
  </si>
  <si>
    <t>coin 2 name</t>
  </si>
  <si>
    <t>price range</t>
  </si>
  <si>
    <t>Row Labels</t>
  </si>
  <si>
    <t>$0-$50</t>
  </si>
  <si>
    <t>Grand Total</t>
  </si>
  <si>
    <t>Sum of volume num</t>
  </si>
  <si>
    <t>TOP 5 CRYPTO LIQUIDITY ANALYSIS</t>
  </si>
  <si>
    <t>Coin</t>
  </si>
  <si>
    <t>Volume</t>
  </si>
  <si>
    <t xml:space="preserve">Summary table </t>
  </si>
  <si>
    <t xml:space="preserve">current price </t>
  </si>
  <si>
    <t xml:space="preserve">previous price </t>
  </si>
  <si>
    <t>price change</t>
  </si>
  <si>
    <t>Sum of price change</t>
  </si>
  <si>
    <t>(All)</t>
  </si>
  <si>
    <t>TOP 10 PRICE CHANGE ANALYSIS</t>
  </si>
  <si>
    <t>1h change</t>
  </si>
  <si>
    <t xml:space="preserve">24 hr change </t>
  </si>
  <si>
    <t xml:space="preserve">7d change </t>
  </si>
  <si>
    <t xml:space="preserve">Sum of 24 hr change </t>
  </si>
  <si>
    <t xml:space="preserve">Sum of 7d change </t>
  </si>
  <si>
    <t>HISTORICAL PRICE CHANGE INSIGHTS</t>
  </si>
  <si>
    <t>average downfall</t>
  </si>
  <si>
    <t>Average of average downfall</t>
  </si>
  <si>
    <t>coin name</t>
  </si>
  <si>
    <t>total coins</t>
  </si>
  <si>
    <t>Range</t>
  </si>
  <si>
    <t>&gt;$50</t>
  </si>
  <si>
    <t>Price change</t>
  </si>
  <si>
    <t>task5 range</t>
  </si>
  <si>
    <t>$0-$5</t>
  </si>
  <si>
    <t>Sum of 1h change</t>
  </si>
  <si>
    <t>LOW BUDGET INVESTMENT KPI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</si>
</sst>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i/>
      <u/>
      <sz val="11"/>
      <color theme="1"/>
      <name val="Calibri"/>
      <family val="2"/>
      <scheme val="minor"/>
    </font>
    <font>
      <b/>
      <i/>
      <u/>
      <sz val="11"/>
      <color rgb="FFFFFFFF"/>
      <name val="Calibri"/>
      <family val="2"/>
      <scheme val="minor"/>
    </font>
    <font>
      <b/>
      <i/>
      <u/>
      <sz val="16"/>
      <color theme="1"/>
      <name val="Calibri"/>
      <family val="2"/>
      <scheme val="minor"/>
    </font>
    <font>
      <b/>
      <i/>
      <u/>
      <sz val="18"/>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
      <sz val="20"/>
      <color theme="1"/>
      <name val="Calibri"/>
      <family val="2"/>
      <scheme val="minor"/>
    </font>
    <font>
      <b/>
      <i/>
      <u/>
      <sz val="20"/>
      <color theme="1"/>
      <name val="Calibri"/>
      <family val="2"/>
      <scheme val="minor"/>
    </font>
  </fonts>
  <fills count="10">
    <fill>
      <patternFill patternType="none"/>
    </fill>
    <fill>
      <patternFill patternType="gray125"/>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99"/>
        <bgColor indexed="64"/>
      </patternFill>
    </fill>
    <fill>
      <patternFill patternType="solid">
        <fgColor theme="1"/>
        <bgColor theme="1"/>
      </patternFill>
    </fill>
    <fill>
      <patternFill patternType="solid">
        <fgColor theme="4" tint="0.39997558519241921"/>
        <bgColor indexed="64"/>
      </patternFill>
    </fill>
    <fill>
      <patternFill patternType="solid">
        <fgColor theme="4"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9" fontId="8" fillId="0" borderId="0" applyFont="0" applyFill="0" applyBorder="0" applyAlignment="0" applyProtection="0"/>
  </cellStyleXfs>
  <cellXfs count="47">
    <xf numFmtId="0" fontId="0" fillId="0" borderId="0" xfId="0"/>
    <xf numFmtId="0" fontId="1" fillId="0" borderId="2" xfId="0" applyFont="1" applyBorder="1" applyAlignment="1">
      <alignment horizontal="center" vertical="top"/>
    </xf>
    <xf numFmtId="0" fontId="0" fillId="2" borderId="3" xfId="0" applyFill="1" applyBorder="1"/>
    <xf numFmtId="0" fontId="0" fillId="2" borderId="4" xfId="0" applyFill="1" applyBorder="1"/>
    <xf numFmtId="0" fontId="0" fillId="3" borderId="3" xfId="0" applyFill="1" applyBorder="1"/>
    <xf numFmtId="0" fontId="0" fillId="3" borderId="4" xfId="0" applyFill="1" applyBorder="1"/>
    <xf numFmtId="0" fontId="2" fillId="0" borderId="0" xfId="0" applyFont="1"/>
    <xf numFmtId="0" fontId="3" fillId="0" borderId="0" xfId="0" applyFont="1"/>
    <xf numFmtId="0" fontId="4" fillId="4" borderId="0" xfId="0" applyFont="1" applyFill="1"/>
    <xf numFmtId="0" fontId="0" fillId="4" borderId="0" xfId="0" applyFill="1"/>
    <xf numFmtId="0" fontId="4" fillId="0" borderId="0" xfId="0" applyFont="1"/>
    <xf numFmtId="0" fontId="0" fillId="0" borderId="0" xfId="0" applyAlignment="1">
      <alignment horizontal="center"/>
    </xf>
    <xf numFmtId="0" fontId="5" fillId="4" borderId="0" xfId="0" applyFont="1" applyFill="1"/>
    <xf numFmtId="0" fontId="0" fillId="0" borderId="1" xfId="0" applyBorder="1"/>
    <xf numFmtId="0" fontId="1" fillId="4" borderId="5" xfId="0" applyFont="1" applyFill="1" applyBorder="1"/>
    <xf numFmtId="0" fontId="1" fillId="4" borderId="7" xfId="0" applyFont="1" applyFill="1" applyBorder="1"/>
    <xf numFmtId="0" fontId="1" fillId="4" borderId="9" xfId="0" applyFont="1" applyFill="1" applyBorder="1"/>
    <xf numFmtId="0" fontId="0" fillId="5" borderId="6" xfId="0" applyFill="1" applyBorder="1"/>
    <xf numFmtId="0" fontId="0" fillId="5" borderId="8" xfId="0" applyFill="1" applyBorder="1"/>
    <xf numFmtId="0" fontId="0" fillId="5" borderId="10" xfId="0" applyFill="1" applyBorder="1"/>
    <xf numFmtId="0" fontId="0" fillId="6" borderId="1" xfId="0" applyFill="1" applyBorder="1"/>
    <xf numFmtId="0" fontId="0" fillId="3" borderId="11" xfId="0" applyFill="1" applyBorder="1"/>
    <xf numFmtId="0" fontId="0" fillId="3" borderId="12" xfId="0" applyFill="1" applyBorder="1"/>
    <xf numFmtId="0" fontId="6" fillId="7"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2" fillId="4" borderId="0" xfId="0" applyFont="1" applyFill="1"/>
    <xf numFmtId="0" fontId="0" fillId="3" borderId="3" xfId="0" applyFont="1" applyFill="1" applyBorder="1"/>
    <xf numFmtId="0" fontId="0" fillId="3" borderId="4" xfId="0" applyFont="1" applyFill="1" applyBorder="1"/>
    <xf numFmtId="0" fontId="0" fillId="0" borderId="0" xfId="0" applyNumberFormat="1"/>
    <xf numFmtId="0" fontId="10" fillId="8" borderId="0" xfId="0" applyFont="1" applyFill="1"/>
    <xf numFmtId="0" fontId="0" fillId="8" borderId="0" xfId="0" applyFill="1"/>
    <xf numFmtId="0" fontId="0" fillId="0" borderId="0" xfId="0" applyFill="1"/>
    <xf numFmtId="0" fontId="9" fillId="0" borderId="0" xfId="0" applyFont="1" applyFill="1"/>
    <xf numFmtId="0" fontId="1" fillId="0" borderId="0" xfId="0" applyFont="1"/>
    <xf numFmtId="0" fontId="1" fillId="0" borderId="0" xfId="0" applyFont="1" applyAlignment="1">
      <alignment horizontal="center"/>
    </xf>
    <xf numFmtId="10" fontId="0" fillId="0" borderId="0" xfId="1" applyNumberFormat="1" applyFont="1" applyAlignment="1">
      <alignment horizontal="center"/>
    </xf>
    <xf numFmtId="0" fontId="5" fillId="0" borderId="0" xfId="0" applyFont="1" applyFill="1"/>
    <xf numFmtId="0" fontId="0" fillId="9" borderId="1" xfId="0" applyFill="1" applyBorder="1"/>
    <xf numFmtId="2" fontId="0" fillId="9" borderId="1" xfId="0" applyNumberFormat="1" applyFill="1" applyBorder="1"/>
    <xf numFmtId="0" fontId="0" fillId="0" borderId="0" xfId="0" applyAlignment="1"/>
    <xf numFmtId="10" fontId="0" fillId="0" borderId="0" xfId="0" applyNumberFormat="1" applyAlignment="1"/>
    <xf numFmtId="0" fontId="0" fillId="0" borderId="0" xfId="0" applyNumberFormat="1" applyAlignment="1"/>
    <xf numFmtId="0" fontId="2" fillId="8" borderId="0" xfId="0" applyFont="1" applyFill="1"/>
  </cellXfs>
  <cellStyles count="2">
    <cellStyle name="Normal" xfId="0" builtinId="0"/>
    <cellStyle name="Percent" xfId="1" builtinId="5"/>
  </cellStyles>
  <dxfs count="31">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style="thin">
          <color theme="0"/>
        </right>
        <top style="thin">
          <color theme="0"/>
        </top>
        <bottom style="thin">
          <color theme="0"/>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Crypto Coins by Volume (24h)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task1_dashboard!$A$4:$A$13</c:f>
              <c:strCache>
                <c:ptCount val="10"/>
                <c:pt idx="0">
                  <c:v>Bitcoin</c:v>
                </c:pt>
                <c:pt idx="1">
                  <c:v>Ethereum</c:v>
                </c:pt>
                <c:pt idx="2">
                  <c:v>USDC</c:v>
                </c:pt>
                <c:pt idx="3">
                  <c:v>BNB</c:v>
                </c:pt>
                <c:pt idx="4">
                  <c:v>Dogecoin</c:v>
                </c:pt>
                <c:pt idx="5">
                  <c:v>Cardano</c:v>
                </c:pt>
                <c:pt idx="6">
                  <c:v>Orbiter Finance</c:v>
                </c:pt>
                <c:pt idx="7">
                  <c:v>Usual</c:v>
                </c:pt>
                <c:pt idx="8">
                  <c:v>Decentraland</c:v>
                </c:pt>
                <c:pt idx="9">
                  <c:v>Eurite</c:v>
                </c:pt>
              </c:strCache>
            </c:strRef>
          </c:cat>
          <c:val>
            <c:numRef>
              <c:f>task1_dashboard!$B$4:$B$13</c:f>
              <c:numCache>
                <c:formatCode>General</c:formatCode>
                <c:ptCount val="10"/>
                <c:pt idx="0">
                  <c:v>43170391288</c:v>
                </c:pt>
                <c:pt idx="1">
                  <c:v>14942260356</c:v>
                </c:pt>
                <c:pt idx="2">
                  <c:v>8208315257</c:v>
                </c:pt>
                <c:pt idx="3">
                  <c:v>1497928447</c:v>
                </c:pt>
                <c:pt idx="4">
                  <c:v>781433558</c:v>
                </c:pt>
                <c:pt idx="5">
                  <c:v>539447597</c:v>
                </c:pt>
                <c:pt idx="6">
                  <c:v>40860347</c:v>
                </c:pt>
                <c:pt idx="7">
                  <c:v>25758134</c:v>
                </c:pt>
                <c:pt idx="8">
                  <c:v>25685731</c:v>
                </c:pt>
                <c:pt idx="9">
                  <c:v>22680605</c:v>
                </c:pt>
              </c:numCache>
            </c:numRef>
          </c:val>
          <c:extLst>
            <c:ext xmlns:c16="http://schemas.microsoft.com/office/drawing/2014/chart" uri="{C3380CC4-5D6E-409C-BE32-E72D297353CC}">
              <c16:uniqueId val="{00000000-D7EF-46C0-88C4-9954F2CC0F62}"/>
            </c:ext>
          </c:extLst>
        </c:ser>
        <c:dLbls>
          <c:showLegendKey val="0"/>
          <c:showVal val="0"/>
          <c:showCatName val="0"/>
          <c:showSerName val="0"/>
          <c:showPercent val="0"/>
          <c:showBubbleSize val="0"/>
        </c:dLbls>
        <c:gapWidth val="219"/>
        <c:overlap val="-27"/>
        <c:axId val="2113893535"/>
        <c:axId val="2113878655"/>
      </c:barChart>
      <c:catAx>
        <c:axId val="21138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78655"/>
        <c:crosses val="autoZero"/>
        <c:auto val="1"/>
        <c:lblAlgn val="ctr"/>
        <c:lblOffset val="100"/>
        <c:noMultiLvlLbl val="0"/>
      </c:catAx>
      <c:valAx>
        <c:axId val="211387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[CryptoAnalysis_Dashboard.xlsx]Task 3_Liquidity!PivotTable1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Crypto Liquidity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'Task 3_Liquidity'!$B$4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7C-43EB-B9C3-9385B8CBCB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7C-43EB-B9C3-9385B8CBCB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7C-43EB-B9C3-9385B8CBCB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7C-43EB-B9C3-9385B8CBCB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7C-43EB-B9C3-9385B8CBCBAC}"/>
              </c:ext>
            </c:extLst>
          </c:dPt>
          <c:cat>
            <c:multiLvlStrRef>
              <c:f>'Task 3_Liquidity'!$A$5:$A$15</c:f>
              <c:multiLvlStrCache>
                <c:ptCount val="5"/>
                <c:lvl>
                  <c:pt idx="0">
                    <c:v>$0-$50</c:v>
                  </c:pt>
                  <c:pt idx="1">
                    <c:v>$0-$50</c:v>
                  </c:pt>
                  <c:pt idx="2">
                    <c:v>$0-$50</c:v>
                  </c:pt>
                  <c:pt idx="3">
                    <c:v>$0-$50</c:v>
                  </c:pt>
                  <c:pt idx="4">
                    <c:v>$0-$50</c:v>
                  </c:pt>
                </c:lvl>
                <c:lvl>
                  <c:pt idx="0">
                    <c:v>USDC</c:v>
                  </c:pt>
                  <c:pt idx="1">
                    <c:v>Dogecoin</c:v>
                  </c:pt>
                  <c:pt idx="2">
                    <c:v>Cardano</c:v>
                  </c:pt>
                  <c:pt idx="3">
                    <c:v>Orbiter Finance</c:v>
                  </c:pt>
                  <c:pt idx="4">
                    <c:v>Usual</c:v>
                  </c:pt>
                </c:lvl>
              </c:multiLvlStrCache>
            </c:multiLvlStrRef>
          </c:cat>
          <c:val>
            <c:numRef>
              <c:f>'Task 3_Liquidity'!$B$5:$B$15</c:f>
              <c:numCache>
                <c:formatCode>General</c:formatCode>
                <c:ptCount val="5"/>
                <c:pt idx="0">
                  <c:v>8208315257</c:v>
                </c:pt>
                <c:pt idx="1">
                  <c:v>781433558</c:v>
                </c:pt>
                <c:pt idx="2">
                  <c:v>539447597</c:v>
                </c:pt>
                <c:pt idx="3">
                  <c:v>40860347</c:v>
                </c:pt>
                <c:pt idx="4">
                  <c:v>25758134</c:v>
                </c:pt>
              </c:numCache>
            </c:numRef>
          </c:val>
          <c:extLst>
            <c:ext xmlns:c16="http://schemas.microsoft.com/office/drawing/2014/chart" uri="{C3380CC4-5D6E-409C-BE32-E72D297353CC}">
              <c16:uniqueId val="{00000000-7236-43F0-86AB-57CC7781D6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[CryptoAnalysis_Dashboard.xlsx]Task4_Price_Analysis!PivotTable2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Coins by Price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Task4_Price_Analysis!$B$7</c:f>
              <c:strCache>
                <c:ptCount val="1"/>
                <c:pt idx="0">
                  <c:v>Total</c:v>
                </c:pt>
              </c:strCache>
            </c:strRef>
          </c:tx>
          <c:spPr>
            <a:solidFill>
              <a:schemeClr val="accent1"/>
            </a:solidFill>
            <a:ln>
              <a:noFill/>
            </a:ln>
            <a:effectLst/>
          </c:spPr>
          <c:invertIfNegative val="0"/>
          <c:cat>
            <c:multiLvlStrRef>
              <c:f>Task4_Price_Analysis!$A$8:$A$28</c:f>
              <c:multiLvlStrCache>
                <c:ptCount val="10"/>
                <c:lvl>
                  <c:pt idx="0">
                    <c:v>BTC</c:v>
                  </c:pt>
                  <c:pt idx="1">
                    <c:v>ETH</c:v>
                  </c:pt>
                  <c:pt idx="2">
                    <c:v>DPI</c:v>
                  </c:pt>
                  <c:pt idx="3">
                    <c:v>SOL</c:v>
                  </c:pt>
                  <c:pt idx="4">
                    <c:v>BNB</c:v>
                  </c:pt>
                  <c:pt idx="5">
                    <c:v>BIFI</c:v>
                  </c:pt>
                  <c:pt idx="6">
                    <c:v>CGO</c:v>
                  </c:pt>
                  <c:pt idx="7">
                    <c:v>RAY</c:v>
                  </c:pt>
                  <c:pt idx="8">
                    <c:v>JLP</c:v>
                  </c:pt>
                  <c:pt idx="9">
                    <c:v>WOULD</c:v>
                  </c:pt>
                </c:lvl>
                <c:lvl>
                  <c:pt idx="0">
                    <c:v>Bitcoin</c:v>
                  </c:pt>
                  <c:pt idx="1">
                    <c:v>Ethereum</c:v>
                  </c:pt>
                  <c:pt idx="2">
                    <c:v>DeFi Pulse Index</c:v>
                  </c:pt>
                  <c:pt idx="3">
                    <c:v>Solana</c:v>
                  </c:pt>
                  <c:pt idx="4">
                    <c:v>BNB</c:v>
                  </c:pt>
                  <c:pt idx="5">
                    <c:v>Beefy</c:v>
                  </c:pt>
                  <c:pt idx="6">
                    <c:v>Comtech Gold</c:v>
                  </c:pt>
                  <c:pt idx="7">
                    <c:v>Raydium</c:v>
                  </c:pt>
                  <c:pt idx="8">
                    <c:v>Jupiter Perps LP</c:v>
                  </c:pt>
                  <c:pt idx="9">
                    <c:v>would</c:v>
                  </c:pt>
                </c:lvl>
              </c:multiLvlStrCache>
            </c:multiLvlStrRef>
          </c:cat>
          <c:val>
            <c:numRef>
              <c:f>Task4_Price_Analysis!$B$8:$B$28</c:f>
              <c:numCache>
                <c:formatCode>General</c:formatCode>
                <c:ptCount val="10"/>
                <c:pt idx="0">
                  <c:v>249.14135674381396</c:v>
                </c:pt>
                <c:pt idx="1">
                  <c:v>18.732913854704293</c:v>
                </c:pt>
                <c:pt idx="2">
                  <c:v>2.4807333203656867</c:v>
                </c:pt>
                <c:pt idx="3">
                  <c:v>1.3985869888107629</c:v>
                </c:pt>
                <c:pt idx="4">
                  <c:v>0.64414585414579051</c:v>
                </c:pt>
                <c:pt idx="5">
                  <c:v>0.23469648562300449</c:v>
                </c:pt>
                <c:pt idx="6">
                  <c:v>6.4863082150708351E-2</c:v>
                </c:pt>
                <c:pt idx="7">
                  <c:v>2.3823267767124623E-2</c:v>
                </c:pt>
                <c:pt idx="8">
                  <c:v>1.9352911896465486E-2</c:v>
                </c:pt>
                <c:pt idx="9">
                  <c:v>1.4545646898961484E-2</c:v>
                </c:pt>
              </c:numCache>
            </c:numRef>
          </c:val>
          <c:extLst>
            <c:ext xmlns:c16="http://schemas.microsoft.com/office/drawing/2014/chart" uri="{C3380CC4-5D6E-409C-BE32-E72D297353CC}">
              <c16:uniqueId val="{00000000-5522-4D3C-BA5F-EBDFC0E2E899}"/>
            </c:ext>
          </c:extLst>
        </c:ser>
        <c:dLbls>
          <c:showLegendKey val="0"/>
          <c:showVal val="0"/>
          <c:showCatName val="0"/>
          <c:showSerName val="0"/>
          <c:showPercent val="0"/>
          <c:showBubbleSize val="0"/>
        </c:dLbls>
        <c:gapWidth val="219"/>
        <c:overlap val="-27"/>
        <c:axId val="1534030479"/>
        <c:axId val="1534030959"/>
      </c:barChart>
      <c:catAx>
        <c:axId val="15340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30959"/>
        <c:crosses val="autoZero"/>
        <c:auto val="1"/>
        <c:lblAlgn val="ctr"/>
        <c:lblOffset val="100"/>
        <c:noMultiLvlLbl val="0"/>
      </c:catAx>
      <c:valAx>
        <c:axId val="15340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3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[CryptoAnalysis_Dashboard.xlsx]Task5_Historical_Insights!PivotTable3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7-Day vs 24-Hour Price Change (Top 10 by 1-Hour Change)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Task5_Historical_Insights!$B$4</c:f>
              <c:strCache>
                <c:ptCount val="1"/>
                <c:pt idx="0">
                  <c:v>Sum of 1h change</c:v>
                </c:pt>
              </c:strCache>
            </c:strRef>
          </c:tx>
          <c:spPr>
            <a:solidFill>
              <a:schemeClr val="accent1"/>
            </a:solidFill>
            <a:ln>
              <a:noFill/>
            </a:ln>
            <a:effectLst/>
          </c:spPr>
          <c:invertIfNegative val="0"/>
          <c:cat>
            <c:strRef>
              <c:f>Task5_Historical_Insights!$A$5:$A$15</c:f>
              <c:strCache>
                <c:ptCount val="10"/>
                <c:pt idx="0">
                  <c:v>Bitcoin 2</c:v>
                </c:pt>
                <c:pt idx="1">
                  <c:v>Ctrl Wallet</c:v>
                </c:pt>
                <c:pt idx="2">
                  <c:v>Degen</c:v>
                </c:pt>
                <c:pt idx="3">
                  <c:v>Kin</c:v>
                </c:pt>
                <c:pt idx="4">
                  <c:v>LanLan Cat</c:v>
                </c:pt>
                <c:pt idx="5">
                  <c:v>Maple Finance</c:v>
                </c:pt>
                <c:pt idx="6">
                  <c:v>Orbiter Finance</c:v>
                </c:pt>
                <c:pt idx="7">
                  <c:v>PIBBLE</c:v>
                </c:pt>
                <c:pt idx="8">
                  <c:v>Pups (Bitcoin)</c:v>
                </c:pt>
                <c:pt idx="9">
                  <c:v>would</c:v>
                </c:pt>
              </c:strCache>
            </c:strRef>
          </c:cat>
          <c:val>
            <c:numRef>
              <c:f>Task5_Historical_Insights!$B$5:$B$15</c:f>
              <c:numCache>
                <c:formatCode>General</c:formatCode>
                <c:ptCount val="10"/>
                <c:pt idx="0">
                  <c:v>3.3399999999999999E-2</c:v>
                </c:pt>
                <c:pt idx="1">
                  <c:v>0.18790000000000001</c:v>
                </c:pt>
                <c:pt idx="2">
                  <c:v>3.4200000000000001E-2</c:v>
                </c:pt>
                <c:pt idx="3">
                  <c:v>4.6399999999999997E-2</c:v>
                </c:pt>
                <c:pt idx="4">
                  <c:v>0.1177</c:v>
                </c:pt>
                <c:pt idx="5">
                  <c:v>3.0499999999999999E-2</c:v>
                </c:pt>
                <c:pt idx="6">
                  <c:v>4.2700000000000002E-2</c:v>
                </c:pt>
                <c:pt idx="7">
                  <c:v>4.0500000000000001E-2</c:v>
                </c:pt>
                <c:pt idx="8">
                  <c:v>4.24E-2</c:v>
                </c:pt>
                <c:pt idx="9">
                  <c:v>3.0300000000000001E-2</c:v>
                </c:pt>
              </c:numCache>
            </c:numRef>
          </c:val>
          <c:extLst>
            <c:ext xmlns:c16="http://schemas.microsoft.com/office/drawing/2014/chart" uri="{C3380CC4-5D6E-409C-BE32-E72D297353CC}">
              <c16:uniqueId val="{00000000-46D3-494E-AE23-631303D7C124}"/>
            </c:ext>
          </c:extLst>
        </c:ser>
        <c:ser>
          <c:idx val="1"/>
          <c:order val="1"/>
          <c:tx>
            <c:strRef>
              <c:f>Task5_Historical_Insights!$C$4</c:f>
              <c:strCache>
                <c:ptCount val="1"/>
                <c:pt idx="0">
                  <c:v>Sum of 7d change </c:v>
                </c:pt>
              </c:strCache>
            </c:strRef>
          </c:tx>
          <c:spPr>
            <a:solidFill>
              <a:schemeClr val="accent2"/>
            </a:solidFill>
            <a:ln>
              <a:noFill/>
            </a:ln>
            <a:effectLst/>
          </c:spPr>
          <c:invertIfNegative val="0"/>
          <c:cat>
            <c:strRef>
              <c:f>Task5_Historical_Insights!$A$5:$A$15</c:f>
              <c:strCache>
                <c:ptCount val="10"/>
                <c:pt idx="0">
                  <c:v>Bitcoin 2</c:v>
                </c:pt>
                <c:pt idx="1">
                  <c:v>Ctrl Wallet</c:v>
                </c:pt>
                <c:pt idx="2">
                  <c:v>Degen</c:v>
                </c:pt>
                <c:pt idx="3">
                  <c:v>Kin</c:v>
                </c:pt>
                <c:pt idx="4">
                  <c:v>LanLan Cat</c:v>
                </c:pt>
                <c:pt idx="5">
                  <c:v>Maple Finance</c:v>
                </c:pt>
                <c:pt idx="6">
                  <c:v>Orbiter Finance</c:v>
                </c:pt>
                <c:pt idx="7">
                  <c:v>PIBBLE</c:v>
                </c:pt>
                <c:pt idx="8">
                  <c:v>Pups (Bitcoin)</c:v>
                </c:pt>
                <c:pt idx="9">
                  <c:v>would</c:v>
                </c:pt>
              </c:strCache>
            </c:strRef>
          </c:cat>
          <c:val>
            <c:numRef>
              <c:f>Task5_Historical_Insights!$C$5:$C$15</c:f>
              <c:numCache>
                <c:formatCode>General</c:formatCode>
                <c:ptCount val="10"/>
                <c:pt idx="0">
                  <c:v>3.3399999999999999E-2</c:v>
                </c:pt>
                <c:pt idx="1">
                  <c:v>0.18790000000000001</c:v>
                </c:pt>
                <c:pt idx="2">
                  <c:v>3.4200000000000001E-2</c:v>
                </c:pt>
                <c:pt idx="3">
                  <c:v>4.6399999999999997E-2</c:v>
                </c:pt>
                <c:pt idx="4">
                  <c:v>0.1177</c:v>
                </c:pt>
                <c:pt idx="5">
                  <c:v>3.0499999999999999E-2</c:v>
                </c:pt>
                <c:pt idx="6">
                  <c:v>4.2700000000000002E-2</c:v>
                </c:pt>
                <c:pt idx="7">
                  <c:v>4.0500000000000001E-2</c:v>
                </c:pt>
                <c:pt idx="8">
                  <c:v>4.24E-2</c:v>
                </c:pt>
                <c:pt idx="9">
                  <c:v>3.0300000000000001E-2</c:v>
                </c:pt>
              </c:numCache>
            </c:numRef>
          </c:val>
          <c:extLst>
            <c:ext xmlns:c16="http://schemas.microsoft.com/office/drawing/2014/chart" uri="{C3380CC4-5D6E-409C-BE32-E72D297353CC}">
              <c16:uniqueId val="{00000001-46D3-494E-AE23-631303D7C124}"/>
            </c:ext>
          </c:extLst>
        </c:ser>
        <c:ser>
          <c:idx val="2"/>
          <c:order val="2"/>
          <c:tx>
            <c:strRef>
              <c:f>Task5_Historical_Insights!$D$4</c:f>
              <c:strCache>
                <c:ptCount val="1"/>
                <c:pt idx="0">
                  <c:v>Sum of 24 hr change </c:v>
                </c:pt>
              </c:strCache>
            </c:strRef>
          </c:tx>
          <c:spPr>
            <a:solidFill>
              <a:schemeClr val="accent3"/>
            </a:solidFill>
            <a:ln>
              <a:noFill/>
            </a:ln>
            <a:effectLst/>
          </c:spPr>
          <c:invertIfNegative val="0"/>
          <c:cat>
            <c:strRef>
              <c:f>Task5_Historical_Insights!$A$5:$A$15</c:f>
              <c:strCache>
                <c:ptCount val="10"/>
                <c:pt idx="0">
                  <c:v>Bitcoin 2</c:v>
                </c:pt>
                <c:pt idx="1">
                  <c:v>Ctrl Wallet</c:v>
                </c:pt>
                <c:pt idx="2">
                  <c:v>Degen</c:v>
                </c:pt>
                <c:pt idx="3">
                  <c:v>Kin</c:v>
                </c:pt>
                <c:pt idx="4">
                  <c:v>LanLan Cat</c:v>
                </c:pt>
                <c:pt idx="5">
                  <c:v>Maple Finance</c:v>
                </c:pt>
                <c:pt idx="6">
                  <c:v>Orbiter Finance</c:v>
                </c:pt>
                <c:pt idx="7">
                  <c:v>PIBBLE</c:v>
                </c:pt>
                <c:pt idx="8">
                  <c:v>Pups (Bitcoin)</c:v>
                </c:pt>
                <c:pt idx="9">
                  <c:v>would</c:v>
                </c:pt>
              </c:strCache>
            </c:strRef>
          </c:cat>
          <c:val>
            <c:numRef>
              <c:f>Task5_Historical_Insights!$D$5:$D$15</c:f>
              <c:numCache>
                <c:formatCode>General</c:formatCode>
                <c:ptCount val="10"/>
                <c:pt idx="0">
                  <c:v>-3.3399999999999999E-2</c:v>
                </c:pt>
                <c:pt idx="1">
                  <c:v>-0.18790000000000001</c:v>
                </c:pt>
                <c:pt idx="2">
                  <c:v>-3.4200000000000001E-2</c:v>
                </c:pt>
                <c:pt idx="3">
                  <c:v>-4.6399999999999997E-2</c:v>
                </c:pt>
                <c:pt idx="4">
                  <c:v>-0.1177</c:v>
                </c:pt>
                <c:pt idx="5">
                  <c:v>-3.0499999999999999E-2</c:v>
                </c:pt>
                <c:pt idx="6">
                  <c:v>-4.2700000000000002E-2</c:v>
                </c:pt>
                <c:pt idx="7">
                  <c:v>-4.0500000000000001E-2</c:v>
                </c:pt>
                <c:pt idx="8">
                  <c:v>-4.24E-2</c:v>
                </c:pt>
                <c:pt idx="9">
                  <c:v>-3.0300000000000001E-2</c:v>
                </c:pt>
              </c:numCache>
            </c:numRef>
          </c:val>
          <c:extLst>
            <c:ext xmlns:c16="http://schemas.microsoft.com/office/drawing/2014/chart" uri="{C3380CC4-5D6E-409C-BE32-E72D297353CC}">
              <c16:uniqueId val="{00000005-46D3-494E-AE23-631303D7C124}"/>
            </c:ext>
          </c:extLst>
        </c:ser>
        <c:dLbls>
          <c:showLegendKey val="0"/>
          <c:showVal val="0"/>
          <c:showCatName val="0"/>
          <c:showSerName val="0"/>
          <c:showPercent val="0"/>
          <c:showBubbleSize val="0"/>
        </c:dLbls>
        <c:gapWidth val="219"/>
        <c:overlap val="-27"/>
        <c:axId val="741615807"/>
        <c:axId val="741599487"/>
      </c:barChart>
      <c:catAx>
        <c:axId val="7416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99487"/>
        <c:crosses val="autoZero"/>
        <c:auto val="1"/>
        <c:lblAlgn val="ctr"/>
        <c:lblOffset val="100"/>
        <c:noMultiLvlLbl val="0"/>
      </c:catAx>
      <c:valAx>
        <c:axId val="74159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6350</xdr:rowOff>
    </xdr:from>
    <xdr:to>
      <xdr:col>9</xdr:col>
      <xdr:colOff>552450</xdr:colOff>
      <xdr:row>16</xdr:row>
      <xdr:rowOff>171450</xdr:rowOff>
    </xdr:to>
    <xdr:graphicFrame macro="">
      <xdr:nvGraphicFramePr>
        <xdr:cNvPr id="2" name="Chart 1">
          <a:extLst>
            <a:ext uri="{FF2B5EF4-FFF2-40B4-BE49-F238E27FC236}">
              <a16:creationId xmlns:a16="http://schemas.microsoft.com/office/drawing/2014/main" id="{6CFAE155-2F07-1FC9-0D68-D223DBBEC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177800</xdr:colOff>
      <xdr:row>3</xdr:row>
      <xdr:rowOff>6351</xdr:rowOff>
    </xdr:from>
    <xdr:to>
      <xdr:col>5</xdr:col>
      <xdr:colOff>177800</xdr:colOff>
      <xdr:row>14</xdr:row>
      <xdr:rowOff>146051</xdr:rowOff>
    </xdr:to>
    <mc:AlternateContent xmlns:mc="http://schemas.openxmlformats.org/markup-compatibility/2006" xmlns:a14="http://schemas.microsoft.com/office/drawing/2010/main">
      <mc:Choice Requires="a14">
        <xdr:graphicFrame macro="">
          <xdr:nvGraphicFramePr>
            <xdr:cNvPr id="2" name="price range">
              <a:extLst>
                <a:ext uri="{FF2B5EF4-FFF2-40B4-BE49-F238E27FC236}">
                  <a16:creationId xmlns:a16="http://schemas.microsoft.com/office/drawing/2014/main" id="{EFF15947-7BDA-17D9-41AE-CD8885264B31}"/>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2508250" y="488951"/>
              <a:ext cx="1828800" cy="234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317500</xdr:colOff>
      <xdr:row>3</xdr:row>
      <xdr:rowOff>6350</xdr:rowOff>
    </xdr:from>
    <xdr:to>
      <xdr:col>10</xdr:col>
      <xdr:colOff>584200</xdr:colOff>
      <xdr:row>14</xdr:row>
      <xdr:rowOff>171450</xdr:rowOff>
    </xdr:to>
    <xdr:graphicFrame macro="">
      <xdr:nvGraphicFramePr>
        <xdr:cNvPr id="3" name="Chart 2">
          <a:extLst>
            <a:ext uri="{FF2B5EF4-FFF2-40B4-BE49-F238E27FC236}">
              <a16:creationId xmlns:a16="http://schemas.microsoft.com/office/drawing/2014/main" id="{AD057D60-70B1-F731-4FFC-57E225425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311150</xdr:colOff>
      <xdr:row>2</xdr:row>
      <xdr:rowOff>146050</xdr:rowOff>
    </xdr:from>
    <xdr:to>
      <xdr:col>16</xdr:col>
      <xdr:colOff>247650</xdr:colOff>
      <xdr:row>18</xdr:row>
      <xdr:rowOff>6350</xdr:rowOff>
    </xdr:to>
    <xdr:graphicFrame macro="">
      <xdr:nvGraphicFramePr>
        <xdr:cNvPr id="4" name="Chart 3">
          <a:extLst>
            <a:ext uri="{FF2B5EF4-FFF2-40B4-BE49-F238E27FC236}">
              <a16:creationId xmlns:a16="http://schemas.microsoft.com/office/drawing/2014/main" id="{88BE4033-F3A3-7BA2-0140-0684D3E2E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215900</xdr:colOff>
      <xdr:row>6</xdr:row>
      <xdr:rowOff>19051</xdr:rowOff>
    </xdr:from>
    <xdr:to>
      <xdr:col>5</xdr:col>
      <xdr:colOff>215900</xdr:colOff>
      <xdr:row>16</xdr:row>
      <xdr:rowOff>63501</xdr:rowOff>
    </xdr:to>
    <mc:AlternateContent xmlns:mc="http://schemas.openxmlformats.org/markup-compatibility/2006">
      <mc:Choice xmlns:a14="http://schemas.microsoft.com/office/drawing/2010/main" Requires="a14">
        <xdr:graphicFrame macro="">
          <xdr:nvGraphicFramePr>
            <xdr:cNvPr id="5" name="price range 1">
              <a:extLst>
                <a:ext uri="{FF2B5EF4-FFF2-40B4-BE49-F238E27FC236}">
                  <a16:creationId xmlns:a16="http://schemas.microsoft.com/office/drawing/2014/main" id="{53581FEA-33AC-89DB-7536-36F943A286EA}"/>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2597150" y="1238251"/>
              <a:ext cx="1828800"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xdr:colOff>
      <xdr:row>2</xdr:row>
      <xdr:rowOff>28575</xdr:rowOff>
    </xdr:from>
    <xdr:to>
      <xdr:col>13</xdr:col>
      <xdr:colOff>577850</xdr:colOff>
      <xdr:row>17</xdr:row>
      <xdr:rowOff>9525</xdr:rowOff>
    </xdr:to>
    <xdr:graphicFrame macro="">
      <xdr:nvGraphicFramePr>
        <xdr:cNvPr id="2" name="Chart 1">
          <a:extLst>
            <a:ext uri="{FF2B5EF4-FFF2-40B4-BE49-F238E27FC236}">
              <a16:creationId xmlns:a16="http://schemas.microsoft.com/office/drawing/2014/main" id="{7EB5D777-5F36-B380-A7E9-FC7BC5076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127000</xdr:colOff>
      <xdr:row>2</xdr:row>
      <xdr:rowOff>19050</xdr:rowOff>
    </xdr:from>
    <xdr:to>
      <xdr:col>17</xdr:col>
      <xdr:colOff>127000</xdr:colOff>
      <xdr:row>16</xdr:row>
      <xdr:rowOff>171450</xdr:rowOff>
    </xdr:to>
    <mc:AlternateContent xmlns:mc="http://schemas.openxmlformats.org/markup-compatibility/2006">
      <mc:Choice xmlns:a14="http://schemas.microsoft.com/office/drawing/2010/main" Requires="a14">
        <xdr:graphicFrame macro="">
          <xdr:nvGraphicFramePr>
            <xdr:cNvPr id="4" name="task5 range">
              <a:extLst>
                <a:ext uri="{FF2B5EF4-FFF2-40B4-BE49-F238E27FC236}">
                  <a16:creationId xmlns:a16="http://schemas.microsoft.com/office/drawing/2014/main" id="{86D09722-3188-1122-46D5-E3D187337784}"/>
                </a:ext>
              </a:extLst>
            </xdr:cNvPr>
            <xdr:cNvGraphicFramePr/>
          </xdr:nvGraphicFramePr>
          <xdr:xfrm>
            <a:off x="0" y="0"/>
            <a:ext cx="0" cy="0"/>
          </xdr:xfrm>
          <a:graphic>
            <a:graphicData uri="http://schemas.microsoft.com/office/drawing/2010/slicer">
              <sle:slicer xmlns:sle="http://schemas.microsoft.com/office/drawing/2010/slicer" name="task5 range"/>
            </a:graphicData>
          </a:graphic>
        </xdr:graphicFrame>
      </mc:Choice>
      <mc:Fallback>
        <xdr:sp macro="" textlink="">
          <xdr:nvSpPr>
            <xdr:cNvPr id="0" name=""/>
            <xdr:cNvSpPr>
              <a:spLocks noTextEdit="1"/>
            </xdr:cNvSpPr>
          </xdr:nvSpPr>
          <xdr:spPr>
            <a:xfrm>
              <a:off x="10717632" y="529970"/>
              <a:ext cx="1839311" cy="2706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349250</xdr:colOff>
      <xdr:row>2</xdr:row>
      <xdr:rowOff>0</xdr:rowOff>
    </xdr:from>
    <xdr:to>
      <xdr:col>9</xdr:col>
      <xdr:colOff>349250</xdr:colOff>
      <xdr:row>14</xdr:row>
      <xdr:rowOff>168275</xdr:rowOff>
    </xdr:to>
    <mc:AlternateContent xmlns:mc="http://schemas.openxmlformats.org/markup-compatibility/2006">
      <mc:Choice xmlns:a14="http://schemas.microsoft.com/office/drawing/2010/main" Requires="a14">
        <xdr:graphicFrame macro="">
          <xdr:nvGraphicFramePr>
            <xdr:cNvPr id="3" name="Range">
              <a:extLst>
                <a:ext uri="{FF2B5EF4-FFF2-40B4-BE49-F238E27FC236}">
                  <a16:creationId xmlns:a16="http://schemas.microsoft.com/office/drawing/2014/main" id="{57CD89B9-80AE-76E5-F428-A7F9E8970B1D}"/>
                </a:ext>
              </a:extLst>
            </xdr:cNvPr>
            <xdr:cNvGraphicFramePr/>
          </xdr:nvGraphicFramePr>
          <xdr:xfrm>
            <a:off x="0" y="0"/>
            <a:ext cx="0" cy="0"/>
          </xdr:xfrm>
          <a:graphic>
            <a:graphicData uri="http://schemas.microsoft.com/office/drawing/2010/slicer">
              <sle:slicer xmlns:sle="http://schemas.microsoft.com/office/drawing/2010/slicer" name="Range"/>
            </a:graphicData>
          </a:graphic>
        </xdr:graphicFrame>
      </mc:Choice>
      <mc:Fallback>
        <xdr:sp macro="" textlink="">
          <xdr:nvSpPr>
            <xdr:cNvPr id="0" name=""/>
            <xdr:cNvSpPr>
              <a:spLocks noTextEdit="1"/>
            </xdr:cNvSpPr>
          </xdr:nvSpPr>
          <xdr:spPr>
            <a:xfrm>
              <a:off x="8055841" y="509924"/>
              <a:ext cx="1818409" cy="2506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KSHA DASARI" refreshedDate="46198.371611574075" createdVersion="8" refreshedVersion="8" minRefreshableVersion="3" recordCount="86" xr:uid="{94B596FB-889F-4203-AB45-5CEDBFCCE2C1}">
  <cacheSource type="worksheet">
    <worksheetSource name="Table2"/>
  </cacheSource>
  <cacheFields count="5">
    <cacheField name="Coin Name" numFmtId="0">
      <sharedItems count="86">
        <s v="Bitcoin"/>
        <s v="Ethereum"/>
        <s v="USDC"/>
        <s v="BNB"/>
        <s v="Dogecoin"/>
        <s v="Cardano"/>
        <s v="Orbiter Finance"/>
        <s v="Usual"/>
        <s v="Decentraland"/>
        <s v="Eurite"/>
        <s v="Core"/>
        <s v="Aevo"/>
        <s v="AI Companions"/>
        <s v="Alaya Governance Token"/>
        <s v="Degen"/>
        <s v="Usual USD"/>
        <s v="COTI"/>
        <s v="AVA (Travala)"/>
        <s v="Ontology"/>
        <s v="OMG Network"/>
        <s v="Cortex"/>
        <s v="Ampleforth Governance Token"/>
        <s v="Contentos"/>
        <s v="DAR Open Network"/>
        <s v="AirSwap"/>
        <s v="Ondo US Dollar Yield"/>
        <s v="Covalent X Token"/>
        <s v="Definitive"/>
        <s v="Alon"/>
        <s v="DEAPcoin"/>
        <s v="BizAuto"/>
        <s v="Comtech Gold"/>
        <s v="ANDY (ETH)"/>
        <s v="Dora Factory"/>
        <s v="dKargo"/>
        <s v="Ertha"/>
        <s v="Department Of Government Efficiency (dogegov.com)"/>
        <s v="Destra Network"/>
        <s v="Daddy Tate"/>
        <s v="CrossFi"/>
        <s v="Dohrnii"/>
        <s v="BlackCardCoin"/>
        <s v="Oasys"/>
        <s v="Inter Milan Fan Token"/>
        <s v="U2U Network"/>
        <s v="OctaSpace"/>
        <s v="Beefy"/>
        <s v="Arcblock"/>
        <s v="Dolos The Bully"/>
        <s v="cheqd"/>
        <s v="crow with knife"/>
        <s v="Universe Boss Coin"/>
        <s v="ORIGYN"/>
        <s v="Akita Inu"/>
        <s v="Aerobud"/>
        <s v="Electra Protocol"/>
        <s v="Cult DAO"/>
        <s v="Creta World"/>
        <s v="Big Data Protocol"/>
        <s v="Dingocoin"/>
        <s v="DeBox"/>
        <s v="Openfabric AI"/>
        <s v="Electric Vehicle Zone"/>
        <s v="Didi Bam Bam"/>
        <s v="AIT Protocol"/>
        <s v="BIGFACTS"/>
        <s v="Ctrl Wallet"/>
        <s v="Abelian"/>
        <s v="IBStoken"/>
        <s v="ADAMANT Messenger"/>
        <s v="Baanx"/>
        <s v="CHADETTE"/>
        <s v="DeFi Pulse Index"/>
        <s v="Darkpino"/>
        <s v="Alitas"/>
        <s v="Octokn"/>
        <s v="Aura Finance"/>
        <s v="Cypherium"/>
        <s v="OmniFlix Network"/>
        <s v="Bitcoin 2"/>
        <s v="Bytecoin"/>
        <s v="Byte"/>
        <s v="Impossible Finance Launchpad"/>
        <s v="Etherisc DIP Token"/>
        <s v="Efinity Token"/>
        <s v="DeHub"/>
      </sharedItems>
    </cacheField>
    <cacheField name="Price (USD)" numFmtId="0">
      <sharedItems/>
    </cacheField>
    <cacheField name="Volume (24h) USD" numFmtId="0">
      <sharedItems/>
    </cacheField>
    <cacheField name="volume num" numFmtId="0">
      <sharedItems containsSemiMixedTypes="0" containsString="0" containsNumber="1" containsInteger="1" minValue="0" maxValue="43170391288"/>
    </cacheField>
    <cacheField name="price range" numFmtId="0">
      <sharedItems count="2">
        <s v="&gt; $50"/>
        <s v="$0-$50"/>
      </sharedItems>
    </cacheField>
  </cacheFields>
  <extLst>
    <ext xmlns:x14="http://schemas.microsoft.com/office/spreadsheetml/2009/9/main" uri="{725AE2AE-9491-48be-B2B4-4EB974FC3084}">
      <x14:pivotCacheDefinition pivotCacheId="1447445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KSHA DASARI" refreshedDate="46198.408553240741" createdVersion="8" refreshedVersion="8" minRefreshableVersion="3" recordCount="200" xr:uid="{E1221F84-5680-42A6-8C56-E6C6C13E584D}">
  <cacheSource type="worksheet">
    <worksheetSource name="Table1"/>
  </cacheSource>
  <cacheFields count="19">
    <cacheField name="Coin Name" numFmtId="0">
      <sharedItems count="200">
        <s v="Bitcoin"/>
        <s v="Ethereum"/>
        <s v="Tether"/>
        <s v="XRP"/>
        <s v="USDC"/>
        <s v="Solana"/>
        <s v="BNB"/>
        <s v="TRON"/>
        <s v="Dogecoin"/>
        <s v="Cardano"/>
        <s v="Pudgy Penguins"/>
        <s v="Walrus"/>
        <s v="Raydium"/>
        <s v="Orbiter Finance"/>
        <s v="Tezos"/>
        <s v="Pyth Network"/>
        <s v="Flow"/>
        <s v="Maple Finance"/>
        <s v="Usual"/>
        <s v="TrueUSD"/>
        <s v="Fasttoken"/>
        <s v="Jupiter Perps LP"/>
        <s v="Zeebu"/>
        <s v="Fellaz"/>
        <s v="Decentraland"/>
        <s v="Eurite"/>
        <s v="Falcon USD"/>
        <s v="Loaded Lions"/>
        <s v="would"/>
        <s v="WhiteRock"/>
        <s v="Core"/>
        <s v="Request"/>
        <s v="Paycoin"/>
        <s v="Aevo"/>
        <s v="Gravity (by Galxe)"/>
        <s v="Terra"/>
        <s v="Solar"/>
        <s v="AI Companions"/>
        <s v="World Mobile Token"/>
        <s v="SKALE"/>
        <s v="Alaya Governance Token"/>
        <s v="Degen"/>
        <s v="Memecoin"/>
        <s v="MiL.k"/>
        <s v="Usual USD"/>
        <s v="COTI"/>
        <s v="AVA (Travala)"/>
        <s v="Ontology"/>
        <s v="Spark"/>
        <s v="Global Commercial Business"/>
        <s v="NEM"/>
        <s v="Humans.ai"/>
        <s v="OMG Network"/>
        <s v="Smooth Love Potion"/>
        <s v="Neutron"/>
        <s v="Cortex"/>
        <s v="Ampleforth Governance Token"/>
        <s v="GameBuild"/>
        <s v="Tornado Cash"/>
        <s v="Contentos"/>
        <s v="Kujira"/>
        <s v="Gains Network"/>
        <s v="DAR Open Network"/>
        <s v="AirSwap"/>
        <s v="The Arena"/>
        <s v="Ondo US Dollar Yield"/>
        <s v="Covalent X Token"/>
        <s v="Metadium"/>
        <s v="Shentu"/>
        <s v="Nakamoto Games"/>
        <s v="Groestlcoin"/>
        <s v="Sui Name Service"/>
        <s v="Haedal Protocol"/>
        <s v="Fractal Bitcoin"/>
        <s v="PlatON"/>
        <s v="NFPrompt"/>
        <s v="Definitive"/>
        <s v="Alon"/>
        <s v="DEAPcoin"/>
        <s v="Radiant Capital"/>
        <s v="Klever Coin"/>
        <s v="Pups (Bitcoin)"/>
        <s v="NATIX Network"/>
        <s v="BizAuto"/>
        <s v="Comtech Gold"/>
        <s v="ANDY (ETH)"/>
        <s v="League of Kingdoms Arena"/>
        <s v="Mango"/>
        <s v="Dora Factory"/>
        <s v="dKargo"/>
        <s v="Port3 Network"/>
        <s v="SIX Token"/>
        <s v="Ertha"/>
        <s v="Department Of Government Efficiency (dogegov.com)"/>
        <s v="Destra Network"/>
        <s v="Paris Saint-Germain Fan Token"/>
        <s v="Daddy Tate"/>
        <s v="CrossFi"/>
        <s v="Dohrnii"/>
        <s v="Step Finance"/>
        <s v="BlackCardCoin"/>
        <s v="Oasys"/>
        <s v="PIBBLE"/>
        <s v="Inter Milan Fan Token"/>
        <s v="Persistence One"/>
        <s v="TROLL (SOL)"/>
        <s v="WeFi"/>
        <s v="U2U Network"/>
        <s v="OctaSpace"/>
        <s v="Beefy"/>
        <s v="Karate Combat"/>
        <s v="Arcblock"/>
        <s v="Nura Labs"/>
        <s v="Nexera"/>
        <s v="Dolos The Bully"/>
        <s v="moonpig"/>
        <s v="cheqd"/>
        <s v="crow with knife"/>
        <s v="Koma Inu"/>
        <s v="Pitbull"/>
        <s v="Venus LTC"/>
        <s v="KONET"/>
        <s v="Universe Boss Coin"/>
        <s v="WazirX"/>
        <s v="ORIGYN"/>
        <s v="SwarmNode.ai"/>
        <s v="Hathor"/>
        <s v="Venus DAI"/>
        <s v="trac (Ordinals)"/>
        <s v="Akita Inu"/>
        <s v="nubcat"/>
        <s v="Aerobud"/>
        <s v="Tron Bull"/>
        <s v="Electra Protocol"/>
        <s v="Cult DAO"/>
        <s v="Metahero"/>
        <s v="Creta World"/>
        <s v="Big Data Protocol"/>
        <s v="Velas"/>
        <s v="Dingocoin"/>
        <s v="DeBox"/>
        <s v="Kin"/>
        <s v="KiloEx"/>
        <s v="Privasea AI"/>
        <s v="MAD"/>
        <s v="Robonomics.network"/>
        <s v="Openfabric AI"/>
        <s v="Electric Vehicle Zone"/>
        <s v="Morpheus.Network"/>
        <s v="WELF"/>
        <s v="Didi Bam Bam"/>
        <s v="AIT Protocol"/>
        <s v="BIGFACTS"/>
        <s v="Ctrl Wallet"/>
        <s v="Abelian"/>
        <s v="IBStoken"/>
        <s v="TRVL (Dtravel)"/>
        <s v="ADAMANT Messenger"/>
        <s v="Baanx"/>
        <s v="Hive Intelligence"/>
        <s v="Sentio AI"/>
        <s v="Sylo"/>
        <s v="PornRocket"/>
        <s v="FNCY"/>
        <s v="Hoge Finance"/>
        <s v="CHADETTE"/>
        <s v="DeFi Pulse Index"/>
        <s v="Darkpino"/>
        <s v="Alitas"/>
        <s v="Octokn"/>
        <s v="NULS"/>
        <s v="Quq"/>
        <s v="RigoBlock"/>
        <s v="LEGIT"/>
        <s v="Super Zero Protocol"/>
        <s v="Letit"/>
        <s v="GoChain"/>
        <s v="Aura Finance"/>
        <s v="Habibi"/>
        <s v="Striker League"/>
        <s v="Cypherium"/>
        <s v="OmniFlix Network"/>
        <s v="Rubic"/>
        <s v="Bitcoin 2"/>
        <s v="Bytecoin"/>
        <s v="Byte"/>
        <s v="Rebel Cars"/>
        <s v="Vulcan Forged (LAVA)"/>
        <s v="Impossible Finance Launchpad"/>
        <s v="Mubarakah"/>
        <s v="TOWER"/>
        <s v="Etherisc DIP Token"/>
        <s v="StarSlax"/>
        <s v="Efinity Token"/>
        <s v="SafeCoin"/>
        <s v="DeHub"/>
        <s v="LanLan Cat"/>
        <s v="Torum"/>
        <s v="SUNCAT"/>
        <s v="HOME3"/>
      </sharedItems>
    </cacheField>
    <cacheField name="Symbol" numFmtId="0">
      <sharedItems count="199">
        <s v="BTC"/>
        <s v="ETH"/>
        <s v="USDT"/>
        <s v="XRP"/>
        <s v="USDC"/>
        <s v="SOL"/>
        <s v="BNB"/>
        <s v="TRX"/>
        <s v="DOGE"/>
        <s v="ADA"/>
        <s v="PENGU"/>
        <s v="WAL"/>
        <s v="RAY"/>
        <s v="OBT"/>
        <s v="XTZ"/>
        <s v="PYTH"/>
        <s v="FLOW"/>
        <s v="SYRUP"/>
        <s v="USUAL"/>
        <s v="TUSD"/>
        <s v="FTN"/>
        <s v="JLP"/>
        <s v="ZBU"/>
        <s v="FLZ"/>
        <s v="MANA"/>
        <s v="EURI"/>
        <s v="USDf"/>
        <s v="LION"/>
        <s v="WOULD"/>
        <s v="WHITE"/>
        <s v="CORE"/>
        <s v="REQ"/>
        <s v="PCI"/>
        <s v="AEVO"/>
        <s v="G"/>
        <s v="LUNA"/>
        <s v="SXP"/>
        <s v="AIC"/>
        <s v="WMTX"/>
        <s v="SKL"/>
        <s v="AGT"/>
        <s v="DEGEN"/>
        <s v="MEME"/>
        <s v="MLK"/>
        <s v="USD0"/>
        <s v="COTI"/>
        <s v="AVA"/>
        <s v="ONT"/>
        <s v="SPK"/>
        <s v="GCB"/>
        <s v="XEM"/>
        <s v="HEART"/>
        <s v="OMG"/>
        <s v="SLP"/>
        <s v="NTRN"/>
        <s v="CTXC"/>
        <s v="FORTH"/>
        <s v="GAME"/>
        <s v="TORN"/>
        <s v="COS"/>
        <s v="KUJI"/>
        <s v="GNS"/>
        <s v="D"/>
        <s v="AST"/>
        <s v="ARENA"/>
        <s v="USDY"/>
        <s v="CXT"/>
        <s v="META"/>
        <s v="CTK"/>
        <s v="NAKA"/>
        <s v="GRS"/>
        <s v="NS"/>
        <s v="HAEDAL"/>
        <s v="FB"/>
        <s v="LAT"/>
        <s v="NFP"/>
        <s v="EDGE"/>
        <s v="ALON"/>
        <s v="DEP"/>
        <s v="RDNT"/>
        <s v="KLV"/>
        <s v="PUPS"/>
        <s v="NATIX"/>
        <s v="BIZA"/>
        <s v="CGO"/>
        <s v="ANDY"/>
        <s v="LOKA"/>
        <s v="MNGO"/>
        <s v="DORA"/>
        <s v="DKA"/>
        <s v="PORT3"/>
        <s v="SIX"/>
        <s v="ERTHA"/>
        <s v="DSYNC"/>
        <s v="PSG"/>
        <s v="DADDY"/>
        <s v="XFI"/>
        <s v="DHN"/>
        <s v="STEP"/>
        <s v="BCCOIN"/>
        <s v="OAS"/>
        <s v="PIB"/>
        <s v="INTER"/>
        <s v="XPRT"/>
        <s v="TROLL"/>
        <s v="WFI"/>
        <s v="U2U"/>
        <s v="OCTA"/>
        <s v="BIFI"/>
        <s v="KARATE"/>
        <s v="ABT"/>
        <s v="NURA"/>
        <s v="NXRA"/>
        <s v="BULLY"/>
        <s v="MOONPIG"/>
        <s v="CHEQ"/>
        <s v="CAW"/>
        <s v="KOMA"/>
        <s v="PIT"/>
        <s v="vLTC"/>
        <s v="KONET"/>
        <s v="UBC"/>
        <s v="WRX"/>
        <s v="OGY"/>
        <s v="SNAI"/>
        <s v="HTR"/>
        <s v="vDAI"/>
        <s v="TRAC"/>
        <s v="AKITA"/>
        <s v="NUB"/>
        <s v="AEROBUD"/>
        <s v="BULL"/>
        <s v="XEP"/>
        <s v="CULT"/>
        <s v="HERO"/>
        <s v="CRETA"/>
        <s v="BDP"/>
        <s v="VLX"/>
        <s v="DINGO"/>
        <s v="BOX"/>
        <s v="KIN"/>
        <s v="KILO"/>
        <s v="PRAI"/>
        <s v="MAD"/>
        <s v="XRT"/>
        <s v="OFN"/>
        <s v="EVZ"/>
        <s v="MNW"/>
        <s v="WELF"/>
        <s v="DDBAM"/>
        <s v="AIT"/>
        <s v="BIGFACTS"/>
        <s v="CTRL"/>
        <s v="ABEL"/>
        <s v="IBS"/>
        <s v="TRVL"/>
        <s v="ADM"/>
        <s v="BXX"/>
        <s v="HINT"/>
        <s v="SEN"/>
        <s v="SYLO"/>
        <s v="PORNROCKET"/>
        <s v="FNCY"/>
        <s v="HOGE"/>
        <s v="CHADETTE"/>
        <s v="DPI"/>
        <s v="DPINO"/>
        <s v="ALT"/>
        <s v="OTK"/>
        <s v="NULS"/>
        <s v="QUQ"/>
        <s v="GRG"/>
        <s v="LEGIT"/>
        <s v="SERO"/>
        <s v="LETIT"/>
        <s v="GO"/>
        <s v="AURA"/>
        <s v="HABIBI"/>
        <s v="MBS"/>
        <s v="CPH"/>
        <s v="FLIX"/>
        <s v="RBC"/>
        <s v="BTC2"/>
        <s v="BCN"/>
        <s v="BYTE"/>
        <s v="RC"/>
        <s v="LAVA"/>
        <s v="IDIA"/>
        <s v="MUBARAKAH"/>
        <s v="TOWER"/>
        <s v="DIP"/>
        <s v="SSLX"/>
        <s v="EFI"/>
        <s v="SAFE"/>
        <s v="DHB"/>
        <s v="LANLAN"/>
        <s v="XTM"/>
        <s v="SUNCAT"/>
        <s v="HTS"/>
      </sharedItems>
    </cacheField>
    <cacheField name="Price (USD)" numFmtId="0">
      <sharedItems/>
    </cacheField>
    <cacheField name="1h Change (%)" numFmtId="10">
      <sharedItems containsSemiMixedTypes="0" containsString="0" containsNumber="1" minValue="0" maxValue="0.18790000000000001"/>
    </cacheField>
    <cacheField name="1h change" numFmtId="0">
      <sharedItems containsSemiMixedTypes="0" containsString="0" containsNumber="1" minValue="0" maxValue="0.18790000000000001" count="117">
        <n v="2.3999999999999998E-3"/>
        <n v="7.6E-3"/>
        <n v="4.0000000000000002E-4"/>
        <n v="5.4999999999999997E-3"/>
        <n v="2.9999999999999997E-4"/>
        <n v="9.9000000000000008E-3"/>
        <n v="1E-3"/>
        <n v="3.5999999999999999E-3"/>
        <n v="9.4000000000000004E-3"/>
        <n v="9.5999999999999992E-3"/>
        <n v="1.4E-2"/>
        <n v="1.5699999999999999E-2"/>
        <n v="1.17E-2"/>
        <n v="4.2700000000000002E-2"/>
        <n v="6.6E-3"/>
        <n v="2.2700000000000001E-2"/>
        <n v="0.01"/>
        <n v="3.0499999999999999E-2"/>
        <n v="1.14E-2"/>
        <n v="1E-4"/>
        <n v="4.4999999999999997E-3"/>
        <n v="5.9999999999999995E-4"/>
        <n v="5.1999999999999998E-3"/>
        <n v="1.37E-2"/>
        <n v="6.9999999999999999E-4"/>
        <n v="0"/>
        <n v="3.0300000000000001E-2"/>
        <n v="8.2000000000000007E-3"/>
        <n v="3.2000000000000002E-3"/>
        <n v="6.3E-3"/>
        <n v="1.61E-2"/>
        <n v="1.1299999999999999E-2"/>
        <n v="1.01E-2"/>
        <n v="2.8999999999999998E-3"/>
        <n v="1.09E-2"/>
        <n v="5.4000000000000003E-3"/>
        <n v="1.5900000000000001E-2"/>
        <n v="3.4200000000000001E-2"/>
        <n v="1.8800000000000001E-2"/>
        <n v="1.4E-3"/>
        <n v="9.4999999999999998E-3"/>
        <n v="4.8999999999999998E-3"/>
        <n v="2.4400000000000002E-2"/>
        <n v="2.0000000000000001E-4"/>
        <n v="5.3E-3"/>
        <n v="1.32E-2"/>
        <n v="1.8E-3"/>
        <n v="1.5299999999999999E-2"/>
        <n v="9.1999999999999998E-3"/>
        <n v="1.1000000000000001E-3"/>
        <n v="4.4000000000000003E-3"/>
        <n v="7.3000000000000001E-3"/>
        <n v="1.7299999999999999E-2"/>
        <n v="3.0999999999999999E-3"/>
        <n v="1.5800000000000002E-2"/>
        <n v="1.9699999999999999E-2"/>
        <n v="3.3E-3"/>
        <n v="8.0000000000000004E-4"/>
        <n v="6.8999999999999999E-3"/>
        <n v="1.5E-3"/>
        <n v="1.77E-2"/>
        <n v="2.1899999999999999E-2"/>
        <n v="1.46E-2"/>
        <n v="4.1999999999999997E-3"/>
        <n v="2.5000000000000001E-3"/>
        <n v="1.26E-2"/>
        <n v="4.24E-2"/>
        <n v="6.7999999999999996E-3"/>
        <n v="5.7000000000000002E-3"/>
        <n v="1.04E-2"/>
        <n v="1.41E-2"/>
        <n v="1.6999999999999999E-3"/>
        <n v="4.0000000000000001E-3"/>
        <n v="1.9E-3"/>
        <n v="1.3899999999999999E-2"/>
        <n v="7.1000000000000004E-3"/>
        <n v="2.2000000000000001E-3"/>
        <n v="5.0000000000000001E-4"/>
        <n v="2.5100000000000001E-2"/>
        <n v="1.2E-2"/>
        <n v="4.0500000000000001E-2"/>
        <n v="5.1000000000000004E-3"/>
        <n v="1.6000000000000001E-3"/>
        <n v="1.1999999999999999E-3"/>
        <n v="8.8000000000000005E-3"/>
        <n v="2.18E-2"/>
        <n v="1.4200000000000001E-2"/>
        <n v="5.8999999999999999E-3"/>
        <n v="1.24E-2"/>
        <n v="7.0000000000000001E-3"/>
        <n v="1.7999999999999999E-2"/>
        <n v="2E-3"/>
        <n v="3.7000000000000002E-3"/>
        <n v="4.6399999999999997E-2"/>
        <n v="3.5000000000000001E-3"/>
        <n v="1.72E-2"/>
        <n v="1.18E-2"/>
        <n v="0.18790000000000001"/>
        <n v="6.1999999999999998E-3"/>
        <n v="8.9999999999999998E-4"/>
        <n v="2.6700000000000002E-2"/>
        <n v="9.7000000000000003E-3"/>
        <n v="2.4799999999999999E-2"/>
        <n v="8.0000000000000002E-3"/>
        <n v="2.8199999999999999E-2"/>
        <n v="8.9999999999999993E-3"/>
        <n v="8.0999999999999996E-3"/>
        <n v="1.5599999999999999E-2"/>
        <n v="1.21E-2"/>
        <n v="2.8E-3"/>
        <n v="3.3399999999999999E-2"/>
        <n v="1.0999999999999999E-2"/>
        <n v="4.3E-3"/>
        <n v="0.1177"/>
        <n v="2.9399999999999999E-2"/>
        <n v="7.9000000000000008E-3"/>
        <n v="2.06E-2"/>
      </sharedItems>
    </cacheField>
    <cacheField name="24 hr change " numFmtId="0">
      <sharedItems containsSemiMixedTypes="0" containsString="0" containsNumber="1" minValue="-0.18790000000000001" maxValue="0"/>
    </cacheField>
    <cacheField name="7d change " numFmtId="0">
      <sharedItems containsSemiMixedTypes="0" containsString="0" containsNumber="1" minValue="0" maxValue="0.18790000000000001"/>
    </cacheField>
    <cacheField name="Market Cap" numFmtId="0">
      <sharedItems/>
    </cacheField>
    <cacheField name="Volume (24h) USD" numFmtId="0">
      <sharedItems/>
    </cacheField>
    <cacheField name="volume num" numFmtId="0">
      <sharedItems containsSemiMixedTypes="0" containsString="0" containsNumber="1" containsInteger="1" minValue="0" maxValue="60772601456"/>
    </cacheField>
    <cacheField name="Circulating Supply" numFmtId="0">
      <sharedItems/>
    </cacheField>
    <cacheField name="Allowed coin" numFmtId="0">
      <sharedItems/>
    </cacheField>
    <cacheField name="current price " numFmtId="0">
      <sharedItems containsSemiMixedTypes="0" containsString="0" containsNumber="1" minValue="2.1639999999999999E-5" maxValue="104058.04"/>
    </cacheField>
    <cacheField name="previous price " numFmtId="0">
      <sharedItems containsSemiMixedTypes="0" containsString="0" containsNumber="1" minValue="2.1618381618381622E-5" maxValue="103808.89864325618"/>
    </cacheField>
    <cacheField name="price range" numFmtId="0">
      <sharedItems count="2">
        <s v="&gt;= $10"/>
        <s v="Up to $10"/>
      </sharedItems>
    </cacheField>
    <cacheField name="price change" numFmtId="0">
      <sharedItems containsSemiMixedTypes="0" containsString="0" containsNumber="1" minValue="0" maxValue="249.14135674381396"/>
    </cacheField>
    <cacheField name="average downfall" numFmtId="0">
      <sharedItems containsSemiMixedTypes="0" containsString="0" containsNumber="1" minValue="-0.18790000000000001" maxValue="0"/>
    </cacheField>
    <cacheField name="task5 range" numFmtId="0">
      <sharedItems count="2">
        <s v="&gt;$5"/>
        <s v="$0-$5"/>
      </sharedItems>
    </cacheField>
    <cacheField name="Range" numFmtId="0">
      <sharedItems count="4">
        <s v="&gt;$50"/>
        <s v="$0.5-$5"/>
        <s v="$0.05-$0.5"/>
        <s v="$0-$0.05"/>
      </sharedItems>
    </cacheField>
  </cacheFields>
  <extLst>
    <ext xmlns:x14="http://schemas.microsoft.com/office/spreadsheetml/2009/9/main" uri="{725AE2AE-9491-48be-B2B4-4EB974FC3084}">
      <x14:pivotCacheDefinition pivotCacheId="223797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s v="$104,058.04"/>
    <s v="$43,170,391,288"/>
    <n v="43170391288"/>
    <x v="0"/>
  </r>
  <r>
    <x v="1"/>
    <s v="$2,483.59"/>
    <s v="$14,942,260,356"/>
    <n v="14942260356"/>
    <x v="0"/>
  </r>
  <r>
    <x v="2"/>
    <s v="$0.9998"/>
    <s v="$8,208,315,257"/>
    <n v="8208315257"/>
    <x v="1"/>
  </r>
  <r>
    <x v="3"/>
    <s v="$644.79"/>
    <s v="$1,497,928,447"/>
    <n v="1497928447"/>
    <x v="0"/>
  </r>
  <r>
    <x v="4"/>
    <s v="$0.1654"/>
    <s v="$781,433,558"/>
    <n v="781433558"/>
    <x v="1"/>
  </r>
  <r>
    <x v="5"/>
    <s v="$0.5808"/>
    <s v="$539,447,597"/>
    <n v="539447597"/>
    <x v="1"/>
  </r>
  <r>
    <x v="6"/>
    <s v="$0.008376"/>
    <s v="$40,860,347"/>
    <n v="40860347"/>
    <x v="1"/>
  </r>
  <r>
    <x v="7"/>
    <s v="$0.07198"/>
    <s v="$25,758,134"/>
    <n v="25758134"/>
    <x v="1"/>
  </r>
  <r>
    <x v="8"/>
    <s v="$0.2505"/>
    <s v="$25,685,731"/>
    <n v="25685731"/>
    <x v="1"/>
  </r>
  <r>
    <x v="9"/>
    <s v="$1.15"/>
    <s v="$22,680,605"/>
    <n v="22680605"/>
    <x v="1"/>
  </r>
  <r>
    <x v="10"/>
    <s v="$0.5443"/>
    <s v="$14,386,742"/>
    <n v="14386742"/>
    <x v="1"/>
  </r>
  <r>
    <x v="11"/>
    <s v="$0.07876"/>
    <s v="$12,716,009"/>
    <n v="12716009"/>
    <x v="1"/>
  </r>
  <r>
    <x v="12"/>
    <s v="$0.09574"/>
    <s v="$9,190,572"/>
    <n v="9190572"/>
    <x v="1"/>
  </r>
  <r>
    <x v="13"/>
    <s v="$0.01390"/>
    <s v="$7,675,089"/>
    <n v="7675089"/>
    <x v="1"/>
  </r>
  <r>
    <x v="14"/>
    <s v="$0.003229"/>
    <s v="$7,399,528"/>
    <n v="7399528"/>
    <x v="1"/>
  </r>
  <r>
    <x v="15"/>
    <s v="$0.9977"/>
    <s v="$6,754,108"/>
    <n v="6754108"/>
    <x v="1"/>
  </r>
  <r>
    <x v="16"/>
    <s v="$0.05028"/>
    <s v="$5,574,946"/>
    <n v="5574946"/>
    <x v="1"/>
  </r>
  <r>
    <x v="17"/>
    <s v="$0.5361"/>
    <s v="$5,008,504"/>
    <n v="5008504"/>
    <x v="1"/>
  </r>
  <r>
    <x v="18"/>
    <s v="$0.1205"/>
    <s v="$4,884,866"/>
    <n v="4884866"/>
    <x v="1"/>
  </r>
  <r>
    <x v="19"/>
    <s v="$0.1841"/>
    <s v="$3,675,488"/>
    <n v="3675488"/>
    <x v="1"/>
  </r>
  <r>
    <x v="20"/>
    <s v="$0.06667"/>
    <s v="$3,645,223"/>
    <n v="3645223"/>
    <x v="1"/>
  </r>
  <r>
    <x v="21"/>
    <s v="$2.53"/>
    <s v="$2,914,375"/>
    <n v="2914375"/>
    <x v="1"/>
  </r>
  <r>
    <x v="22"/>
    <s v="$0.002934"/>
    <s v="$2,771,456"/>
    <n v="2771456"/>
    <x v="1"/>
  </r>
  <r>
    <x v="23"/>
    <s v="$0.03010"/>
    <s v="$2,760,725"/>
    <n v="2760725"/>
    <x v="1"/>
  </r>
  <r>
    <x v="24"/>
    <s v="$0.03958"/>
    <s v="$2,431,321"/>
    <n v="2431321"/>
    <x v="1"/>
  </r>
  <r>
    <x v="25"/>
    <s v="$1.09"/>
    <s v="$2,293,702"/>
    <n v="2293702"/>
    <x v="1"/>
  </r>
  <r>
    <x v="26"/>
    <s v="$0.02654"/>
    <s v="$2,231,412"/>
    <n v="2231412"/>
    <x v="1"/>
  </r>
  <r>
    <x v="27"/>
    <s v="$0.07508"/>
    <s v="$1,739,142"/>
    <n v="1739142"/>
    <x v="1"/>
  </r>
  <r>
    <x v="28"/>
    <s v="$0.01163"/>
    <s v="$1,737,116"/>
    <n v="1737116"/>
    <x v="1"/>
  </r>
  <r>
    <x v="29"/>
    <s v="$0.001245"/>
    <s v="$1,669,915"/>
    <n v="1669915"/>
    <x v="1"/>
  </r>
  <r>
    <x v="30"/>
    <s v="$0.0005920"/>
    <s v="$1,660,204"/>
    <n v="1660204"/>
    <x v="1"/>
  </r>
  <r>
    <x v="31"/>
    <s v="$108.17"/>
    <s v="$1,639,272"/>
    <n v="1639272"/>
    <x v="0"/>
  </r>
  <r>
    <x v="32"/>
    <s v="$0.00005125"/>
    <s v="$1,414,981"/>
    <n v="1414981"/>
    <x v="1"/>
  </r>
  <r>
    <x v="33"/>
    <s v="$0.02198"/>
    <s v="$1,407,422"/>
    <n v="1407422"/>
    <x v="1"/>
  </r>
  <r>
    <x v="34"/>
    <s v="$0.01544"/>
    <s v="$1,356,568"/>
    <n v="1356568"/>
    <x v="1"/>
  </r>
  <r>
    <x v="35"/>
    <s v="$0.0006265"/>
    <s v="$1,332,029"/>
    <n v="1332029"/>
    <x v="1"/>
  </r>
  <r>
    <x v="36"/>
    <s v="$0.009443"/>
    <s v="$1,315,522"/>
    <n v="1315522"/>
    <x v="1"/>
  </r>
  <r>
    <x v="37"/>
    <s v="$0.1111"/>
    <s v="$1,068,402"/>
    <n v="1068402"/>
    <x v="1"/>
  </r>
  <r>
    <x v="38"/>
    <s v="$0.03288"/>
    <s v="$999,710"/>
    <n v="999710"/>
    <x v="1"/>
  </r>
  <r>
    <x v="39"/>
    <s v="$0.09003"/>
    <s v="$955,799"/>
    <n v="955799"/>
    <x v="1"/>
  </r>
  <r>
    <x v="40"/>
    <s v="$2.13"/>
    <s v="$867,656"/>
    <n v="867656"/>
    <x v="1"/>
  </r>
  <r>
    <x v="41"/>
    <s v="$0.1976"/>
    <s v="$858,809"/>
    <n v="858809"/>
    <x v="1"/>
  </r>
  <r>
    <x v="42"/>
    <s v="$0.01177"/>
    <s v="$817,224"/>
    <n v="817224"/>
    <x v="1"/>
  </r>
  <r>
    <x v="43"/>
    <s v="$0.5306"/>
    <s v="$697,351"/>
    <n v="697351"/>
    <x v="1"/>
  </r>
  <r>
    <x v="44"/>
    <s v="$0.007830"/>
    <s v="$680,959"/>
    <n v="680959"/>
    <x v="1"/>
  </r>
  <r>
    <x v="45"/>
    <s v="$0.3211"/>
    <s v="$654,812"/>
    <n v="654812"/>
    <x v="1"/>
  </r>
  <r>
    <x v="46"/>
    <s v="$146.92"/>
    <s v="$525,209"/>
    <n v="525209"/>
    <x v="0"/>
  </r>
  <r>
    <x v="47"/>
    <s v="$0.7374"/>
    <s v="$522,812"/>
    <n v="522812"/>
    <x v="1"/>
  </r>
  <r>
    <x v="48"/>
    <s v="$0.001286"/>
    <s v="$395,470"/>
    <n v="395470"/>
    <x v="1"/>
  </r>
  <r>
    <x v="49"/>
    <s v="$0.01413"/>
    <s v="$351,905"/>
    <n v="351905"/>
    <x v="1"/>
  </r>
  <r>
    <x v="50"/>
    <s v="$0.071993"/>
    <s v="$326,498"/>
    <n v="326498"/>
    <x v="1"/>
  </r>
  <r>
    <x v="51"/>
    <s v="$0.002527"/>
    <s v="$274,603"/>
    <n v="274603"/>
    <x v="1"/>
  </r>
  <r>
    <x v="52"/>
    <s v="$0.002523"/>
    <s v="$268,389"/>
    <n v="268389"/>
    <x v="1"/>
  </r>
  <r>
    <x v="53"/>
    <s v="$0.074697"/>
    <s v="$239,395"/>
    <n v="239395"/>
    <x v="1"/>
  </r>
  <r>
    <x v="54"/>
    <s v="$0.009401"/>
    <s v="$232,710"/>
    <n v="232710"/>
    <x v="1"/>
  </r>
  <r>
    <x v="55"/>
    <s v="$0.0002248"/>
    <s v="$193,524"/>
    <n v="193524"/>
    <x v="1"/>
  </r>
  <r>
    <x v="56"/>
    <s v="$0.053611"/>
    <s v="$191,600"/>
    <n v="191600"/>
    <x v="1"/>
  </r>
  <r>
    <x v="57"/>
    <s v="$0.004794"/>
    <s v="$191,443"/>
    <n v="191443"/>
    <x v="1"/>
  </r>
  <r>
    <x v="58"/>
    <s v="$0.04844"/>
    <s v="$174,927"/>
    <n v="174927"/>
    <x v="1"/>
  </r>
  <r>
    <x v="59"/>
    <s v="$0.00002837"/>
    <s v="$157,680"/>
    <n v="157680"/>
    <x v="1"/>
  </r>
  <r>
    <x v="60"/>
    <s v="$0.01060"/>
    <s v="$155,287"/>
    <n v="155287"/>
    <x v="1"/>
  </r>
  <r>
    <x v="61"/>
    <s v="$0.02954"/>
    <s v="$153,889"/>
    <n v="153889"/>
    <x v="1"/>
  </r>
  <r>
    <x v="62"/>
    <s v="$0.002286"/>
    <s v="$130,770"/>
    <n v="130770"/>
    <x v="1"/>
  </r>
  <r>
    <x v="63"/>
    <s v="$0.07514"/>
    <s v="$119,741"/>
    <n v="119741"/>
    <x v="1"/>
  </r>
  <r>
    <x v="64"/>
    <s v="$0.01094"/>
    <s v="$117,948"/>
    <n v="117948"/>
    <x v="1"/>
  </r>
  <r>
    <x v="65"/>
    <s v="$0.003410"/>
    <s v="$115,234"/>
    <n v="115234"/>
    <x v="1"/>
  </r>
  <r>
    <x v="66"/>
    <s v="$0.007828"/>
    <s v="$106,039"/>
    <n v="106039"/>
    <x v="1"/>
  </r>
  <r>
    <x v="67"/>
    <s v="$0.04980"/>
    <s v="$75,107"/>
    <n v="75107"/>
    <x v="1"/>
  </r>
  <r>
    <x v="68"/>
    <s v="$0.0008030"/>
    <s v="$72,433"/>
    <n v="72433"/>
    <x v="1"/>
  </r>
  <r>
    <x v="69"/>
    <s v="$0.02283"/>
    <s v="$69,191"/>
    <n v="69191"/>
    <x v="1"/>
  </r>
  <r>
    <x v="70"/>
    <s v="$0.03672"/>
    <s v="$43,739"/>
    <n v="43739"/>
    <x v="1"/>
  </r>
  <r>
    <x v="71"/>
    <s v="$0.002602"/>
    <s v="$34,103"/>
    <n v="34103"/>
    <x v="1"/>
  </r>
  <r>
    <x v="72"/>
    <s v="$90.45"/>
    <s v="$21,125"/>
    <n v="21125"/>
    <x v="0"/>
  </r>
  <r>
    <x v="73"/>
    <s v="$0.005187"/>
    <s v="$17,403"/>
    <n v="17403"/>
    <x v="1"/>
  </r>
  <r>
    <x v="74"/>
    <s v="$0.03321"/>
    <s v="$14,376"/>
    <n v="14376"/>
    <x v="1"/>
  </r>
  <r>
    <x v="75"/>
    <s v="$0.004085"/>
    <s v="$11,736"/>
    <n v="11736"/>
    <x v="1"/>
  </r>
  <r>
    <x v="76"/>
    <s v="$0.1823"/>
    <s v="$3,185"/>
    <n v="3185"/>
    <x v="1"/>
  </r>
  <r>
    <x v="77"/>
    <s v="$0.008445"/>
    <s v="$2,100"/>
    <n v="2100"/>
    <x v="1"/>
  </r>
  <r>
    <x v="78"/>
    <s v="$0.01286"/>
    <s v="$1,659"/>
    <n v="1659"/>
    <x v="1"/>
  </r>
  <r>
    <x v="79"/>
    <s v="$0.1761"/>
    <s v="$1,614"/>
    <n v="1614"/>
    <x v="1"/>
  </r>
  <r>
    <x v="80"/>
    <s v="$0.00002164"/>
    <s v="$658"/>
    <n v="658"/>
    <x v="1"/>
  </r>
  <r>
    <x v="81"/>
    <s v="$0.052624"/>
    <s v="$287"/>
    <n v="287"/>
    <x v="1"/>
  </r>
  <r>
    <x v="82"/>
    <s v="$0.02881"/>
    <s v="$47"/>
    <n v="47"/>
    <x v="1"/>
  </r>
  <r>
    <x v="83"/>
    <s v="$0.006649"/>
    <s v="$36"/>
    <n v="36"/>
    <x v="1"/>
  </r>
  <r>
    <x v="84"/>
    <s v="$0.1065"/>
    <s v="N/A"/>
    <n v="0"/>
    <x v="1"/>
  </r>
  <r>
    <x v="85"/>
    <s v="$0.0003842"/>
    <s v="N/A"/>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s v="$104,058.04"/>
    <n v="2.3999999999999998E-3"/>
    <x v="0"/>
    <n v="-2.3999999999999998E-3"/>
    <n v="2.3999999999999998E-3"/>
    <s v="$2.07T"/>
    <s v="$43,170,391,288"/>
    <n v="43170391288"/>
    <s v="19.88M"/>
    <s v="Yes"/>
    <n v="104058.04"/>
    <n v="103808.89864325618"/>
    <x v="0"/>
    <n v="249.14135674381396"/>
    <n v="-2.3999999999999998E-3"/>
    <x v="0"/>
    <x v="0"/>
  </r>
  <r>
    <x v="1"/>
    <x v="1"/>
    <s v="$2,483.59"/>
    <n v="7.6E-3"/>
    <x v="1"/>
    <n v="-7.6E-3"/>
    <n v="7.6E-3"/>
    <s v="$299.51B"/>
    <s v="$14,942,260,356"/>
    <n v="14942260356"/>
    <s v="120.72M"/>
    <s v="Yes"/>
    <n v="2483.59"/>
    <n v="2464.8570861452959"/>
    <x v="0"/>
    <n v="18.732913854704293"/>
    <n v="-7.6E-3"/>
    <x v="0"/>
    <x v="0"/>
  </r>
  <r>
    <x v="2"/>
    <x v="2"/>
    <s v="$0.9999"/>
    <n v="4.0000000000000002E-4"/>
    <x v="2"/>
    <n v="-4.0000000000000002E-4"/>
    <n v="4.0000000000000002E-4"/>
    <s v="$155.95B"/>
    <s v="$60,772,601,456"/>
    <n v="60772601456"/>
    <s v="155.94B"/>
    <s v="No"/>
    <n v="0.99990000000000001"/>
    <n v="0.99950019992003203"/>
    <x v="1"/>
    <n v="3.9980007996798239E-4"/>
    <n v="-4.0000000000000002E-4"/>
    <x v="1"/>
    <x v="0"/>
  </r>
  <r>
    <x v="3"/>
    <x v="3"/>
    <s v="$2.12"/>
    <n v="5.4999999999999997E-3"/>
    <x v="3"/>
    <n v="-5.4999999999999997E-3"/>
    <n v="5.4999999999999997E-3"/>
    <s v="$125.42B"/>
    <s v="$2,046,333,328"/>
    <n v="2046333328"/>
    <s v="58.93B"/>
    <s v="No"/>
    <n v="2.12"/>
    <n v="2.1084037792143211"/>
    <x v="1"/>
    <n v="1.1596220785679012E-2"/>
    <n v="-5.4999999999999997E-3"/>
    <x v="1"/>
    <x v="0"/>
  </r>
  <r>
    <x v="4"/>
    <x v="4"/>
    <s v="$0.9998"/>
    <n v="2.9999999999999997E-4"/>
    <x v="4"/>
    <n v="-2.9999999999999997E-4"/>
    <n v="2.9999999999999997E-4"/>
    <s v="$61.23B"/>
    <s v="$8,208,315,257"/>
    <n v="8208315257"/>
    <s v="61.23B"/>
    <s v="Yes"/>
    <n v="0.99980000000000002"/>
    <n v="0.99950014995501357"/>
    <x v="1"/>
    <n v="2.998500449864494E-4"/>
    <n v="-2.9999999999999997E-4"/>
    <x v="1"/>
    <x v="1"/>
  </r>
  <r>
    <x v="5"/>
    <x v="5"/>
    <s v="$142.67"/>
    <n v="9.9000000000000008E-3"/>
    <x v="5"/>
    <n v="-9.9000000000000008E-3"/>
    <n v="9.9000000000000008E-3"/>
    <s v="$75.33B"/>
    <s v="$2,904,341,748"/>
    <n v="2904341748"/>
    <s v="527.96M"/>
    <s v="No"/>
    <n v="142.66999999999999"/>
    <n v="141.27141301118922"/>
    <x v="0"/>
    <n v="1.3985869888107629"/>
    <n v="-9.9000000000000008E-3"/>
    <x v="0"/>
    <x v="0"/>
  </r>
  <r>
    <x v="6"/>
    <x v="6"/>
    <s v="$644.79"/>
    <n v="1E-3"/>
    <x v="6"/>
    <n v="-1E-3"/>
    <n v="1E-3"/>
    <s v="$90.84B"/>
    <s v="$1,497,928,447"/>
    <n v="1497928447"/>
    <s v="140.88M"/>
    <s v="Yes"/>
    <n v="644.79"/>
    <n v="644.14585414585417"/>
    <x v="0"/>
    <n v="0.64414585414579051"/>
    <n v="-1E-3"/>
    <x v="0"/>
    <x v="0"/>
  </r>
  <r>
    <x v="7"/>
    <x v="7"/>
    <s v="$0.2734"/>
    <n v="3.5999999999999999E-3"/>
    <x v="7"/>
    <n v="-3.5999999999999999E-3"/>
    <n v="3.5999999999999999E-3"/>
    <s v="$25.93B"/>
    <s v="$445,406,337"/>
    <n v="445406337"/>
    <s v="94.82B"/>
    <s v="No"/>
    <n v="0.27339999999999998"/>
    <n v="0.27241929055400554"/>
    <x v="1"/>
    <n v="9.8070944599443211E-4"/>
    <n v="-3.5999999999999999E-3"/>
    <x v="1"/>
    <x v="0"/>
  </r>
  <r>
    <x v="8"/>
    <x v="8"/>
    <s v="$0.1654"/>
    <n v="9.4000000000000004E-3"/>
    <x v="8"/>
    <n v="-9.4000000000000004E-3"/>
    <n v="9.4000000000000004E-3"/>
    <s v="$24.77B"/>
    <s v="$781,433,558"/>
    <n v="781433558"/>
    <s v="149.76B"/>
    <s v="Yes"/>
    <n v="0.16539999999999999"/>
    <n v="0.16385971864473942"/>
    <x v="1"/>
    <n v="1.5402813552605754E-3"/>
    <n v="-9.4000000000000004E-3"/>
    <x v="1"/>
    <x v="2"/>
  </r>
  <r>
    <x v="9"/>
    <x v="9"/>
    <s v="$0.5808"/>
    <n v="9.5999999999999992E-3"/>
    <x v="9"/>
    <n v="-9.5999999999999992E-3"/>
    <n v="9.5999999999999992E-3"/>
    <s v="$20.54B"/>
    <s v="$539,447,597"/>
    <n v="539447597"/>
    <s v="35.36B"/>
    <s v="Yes"/>
    <n v="0.58079999999999998"/>
    <n v="0.57527733755942945"/>
    <x v="1"/>
    <n v="5.522662440570536E-3"/>
    <n v="-9.5999999999999992E-3"/>
    <x v="1"/>
    <x v="1"/>
  </r>
  <r>
    <x v="10"/>
    <x v="10"/>
    <s v="$0.009096"/>
    <n v="1.4E-2"/>
    <x v="10"/>
    <n v="-1.4E-2"/>
    <n v="1.4E-2"/>
    <s v="$571.84M"/>
    <s v="$60,468,868"/>
    <n v="60468868"/>
    <s v="62.86B"/>
    <s v="No"/>
    <n v="9.0959999999999999E-3"/>
    <n v="8.9704142011834322E-3"/>
    <x v="1"/>
    <n v="1.2558579881656769E-4"/>
    <n v="-1.4E-2"/>
    <x v="1"/>
    <x v="0"/>
  </r>
  <r>
    <x v="11"/>
    <x v="11"/>
    <s v="$0.4205"/>
    <n v="1.5699999999999999E-2"/>
    <x v="11"/>
    <n v="-1.5699999999999999E-2"/>
    <n v="1.5699999999999999E-2"/>
    <s v="$567M"/>
    <s v="$22,854,744"/>
    <n v="22854744"/>
    <s v="1.34B"/>
    <s v="No"/>
    <n v="0.42049999999999998"/>
    <n v="0.41400019690853596"/>
    <x v="1"/>
    <n v="6.4998030914640292E-3"/>
    <n v="-1.5699999999999999E-2"/>
    <x v="1"/>
    <x v="0"/>
  </r>
  <r>
    <x v="12"/>
    <x v="12"/>
    <s v="$2.06"/>
    <n v="1.17E-2"/>
    <x v="12"/>
    <n v="-1.17E-2"/>
    <n v="1.17E-2"/>
    <s v="$551.36M"/>
    <s v="$110,228,545"/>
    <n v="110228545"/>
    <s v="267.62M"/>
    <s v="No"/>
    <n v="2.06"/>
    <n v="2.0361767322328754"/>
    <x v="1"/>
    <n v="2.3823267767124623E-2"/>
    <n v="-1.17E-2"/>
    <x v="1"/>
    <x v="0"/>
  </r>
  <r>
    <x v="13"/>
    <x v="13"/>
    <s v="$0.008376"/>
    <n v="4.2700000000000002E-2"/>
    <x v="13"/>
    <n v="-4.2700000000000002E-2"/>
    <n v="4.2700000000000002E-2"/>
    <s v="$25.97M"/>
    <s v="$40,860,347"/>
    <n v="40860347"/>
    <s v="3.1B"/>
    <s v="Yes"/>
    <n v="8.3759999999999998E-3"/>
    <n v="8.032991272657523E-3"/>
    <x v="1"/>
    <n v="3.4300872734247673E-4"/>
    <n v="-4.2700000000000002E-2"/>
    <x v="1"/>
    <x v="3"/>
  </r>
  <r>
    <x v="14"/>
    <x v="14"/>
    <s v="$0.5207"/>
    <n v="6.6E-3"/>
    <x v="14"/>
    <n v="-6.6E-3"/>
    <n v="6.6E-3"/>
    <s v="$545.72M"/>
    <s v="$14,355,952"/>
    <n v="14355952"/>
    <s v="1.04B"/>
    <s v="No"/>
    <n v="0.52070000000000005"/>
    <n v="0.51728591297436921"/>
    <x v="1"/>
    <n v="3.4140870256308409E-3"/>
    <n v="-6.6E-3"/>
    <x v="1"/>
    <x v="0"/>
  </r>
  <r>
    <x v="15"/>
    <x v="15"/>
    <s v="$0.09453"/>
    <n v="2.2700000000000001E-2"/>
    <x v="15"/>
    <n v="-2.2700000000000001E-2"/>
    <n v="2.2700000000000001E-2"/>
    <s v="$543.57M"/>
    <s v="$27,917,564"/>
    <n v="27917564"/>
    <s v="5.74B"/>
    <s v="No"/>
    <n v="9.4530000000000003E-2"/>
    <n v="9.2431798181284844E-2"/>
    <x v="1"/>
    <n v="2.0982018187151591E-3"/>
    <n v="-2.2700000000000001E-2"/>
    <x v="1"/>
    <x v="0"/>
  </r>
  <r>
    <x v="16"/>
    <x v="16"/>
    <s v="$0.3394"/>
    <n v="0.01"/>
    <x v="16"/>
    <n v="-0.01"/>
    <n v="0.01"/>
    <s v="$539.91M"/>
    <s v="$21,157,648"/>
    <n v="21157648"/>
    <s v="1.59B"/>
    <s v="No"/>
    <n v="0.33939999999999998"/>
    <n v="0.33603960396039601"/>
    <x v="1"/>
    <n v="3.3603960396039745E-3"/>
    <n v="-0.01"/>
    <x v="1"/>
    <x v="0"/>
  </r>
  <r>
    <x v="17"/>
    <x v="17"/>
    <s v="$0.4626"/>
    <n v="3.0499999999999999E-2"/>
    <x v="17"/>
    <n v="-3.0499999999999999E-2"/>
    <n v="3.0499999999999999E-2"/>
    <s v="$515.17M"/>
    <s v="$70,946,476"/>
    <n v="70946476"/>
    <s v="1.11B"/>
    <s v="No"/>
    <n v="0.46260000000000001"/>
    <n v="0.44890829694323148"/>
    <x v="1"/>
    <n v="1.3691703056768534E-2"/>
    <n v="-3.0499999999999999E-2"/>
    <x v="1"/>
    <x v="0"/>
  </r>
  <r>
    <x v="18"/>
    <x v="18"/>
    <s v="$0.07198"/>
    <n v="1.14E-2"/>
    <x v="18"/>
    <n v="-1.14E-2"/>
    <n v="1.14E-2"/>
    <s v="$72.72M"/>
    <s v="$25,758,134"/>
    <n v="25758134"/>
    <s v="1.01B"/>
    <s v="Yes"/>
    <n v="7.1980000000000002E-2"/>
    <n v="7.1168677081273474E-2"/>
    <x v="1"/>
    <n v="8.1132291872652862E-4"/>
    <n v="-1.14E-2"/>
    <x v="1"/>
    <x v="2"/>
  </r>
  <r>
    <x v="19"/>
    <x v="19"/>
    <s v="$0.9976"/>
    <n v="1E-4"/>
    <x v="19"/>
    <n v="-1E-4"/>
    <n v="1E-4"/>
    <s v="$493.33M"/>
    <s v="$60,347,807"/>
    <n v="60347807"/>
    <s v="494.51M"/>
    <s v="No"/>
    <n v="0.99760000000000004"/>
    <n v="0.99750024997500253"/>
    <x v="1"/>
    <n v="9.975002499751362E-5"/>
    <n v="-1E-4"/>
    <x v="1"/>
    <x v="0"/>
  </r>
  <r>
    <x v="20"/>
    <x v="20"/>
    <s v="$4.45"/>
    <n v="1E-4"/>
    <x v="19"/>
    <n v="-1E-4"/>
    <n v="1E-4"/>
    <s v="$1.95B"/>
    <s v="$58,305,626"/>
    <n v="58305626"/>
    <s v="436.26M"/>
    <s v="No"/>
    <n v="4.45"/>
    <n v="4.4495550444955505"/>
    <x v="1"/>
    <n v="4.4495550444967336E-4"/>
    <n v="-1E-4"/>
    <x v="1"/>
    <x v="0"/>
  </r>
  <r>
    <x v="21"/>
    <x v="21"/>
    <s v="$4.32"/>
    <n v="4.4999999999999997E-3"/>
    <x v="20"/>
    <n v="-4.4999999999999997E-3"/>
    <n v="4.4999999999999997E-3"/>
    <s v="$1.49B"/>
    <s v="$17,245,756"/>
    <n v="17245756"/>
    <s v="343.49M"/>
    <s v="No"/>
    <n v="4.32"/>
    <n v="4.3006470881035348"/>
    <x v="1"/>
    <n v="1.9352911896465486E-2"/>
    <n v="-4.4999999999999997E-3"/>
    <x v="1"/>
    <x v="0"/>
  </r>
  <r>
    <x v="22"/>
    <x v="22"/>
    <s v="$3.26"/>
    <n v="5.9999999999999995E-4"/>
    <x v="21"/>
    <n v="-5.9999999999999995E-4"/>
    <n v="5.9999999999999995E-4"/>
    <s v="$846.7M"/>
    <s v="$486,945"/>
    <n v="486945"/>
    <s v="258.97M"/>
    <s v="No"/>
    <n v="3.26"/>
    <n v="3.2580451728962623"/>
    <x v="1"/>
    <n v="1.9548271037375109E-3"/>
    <n v="-5.9999999999999995E-4"/>
    <x v="1"/>
    <x v="0"/>
  </r>
  <r>
    <x v="23"/>
    <x v="23"/>
    <s v="$1.43"/>
    <n v="5.1999999999999998E-3"/>
    <x v="22"/>
    <n v="-5.1999999999999998E-3"/>
    <n v="5.1999999999999998E-3"/>
    <s v="$677.19M"/>
    <s v="$2,595,867"/>
    <n v="2595867"/>
    <s v="471.87M"/>
    <s v="No"/>
    <n v="1.43"/>
    <n v="1.422602467170712"/>
    <x v="1"/>
    <n v="7.3975328292879006E-3"/>
    <n v="-5.1999999999999998E-3"/>
    <x v="1"/>
    <x v="0"/>
  </r>
  <r>
    <x v="24"/>
    <x v="24"/>
    <s v="$0.2505"/>
    <n v="1.37E-2"/>
    <x v="23"/>
    <n v="-1.37E-2"/>
    <n v="1.37E-2"/>
    <s v="$493.58M"/>
    <s v="$25,685,731"/>
    <n v="25685731"/>
    <s v="1.96B"/>
    <s v="Yes"/>
    <n v="0.2505"/>
    <n v="0.24711453092630956"/>
    <x v="1"/>
    <n v="3.3854690736904447E-3"/>
    <n v="-1.37E-2"/>
    <x v="1"/>
    <x v="2"/>
  </r>
  <r>
    <x v="25"/>
    <x v="25"/>
    <s v="$1.15"/>
    <n v="6.9999999999999999E-4"/>
    <x v="24"/>
    <n v="-6.9999999999999999E-4"/>
    <n v="6.9999999999999999E-4"/>
    <s v="$51.31M"/>
    <s v="$22,680,605"/>
    <n v="22680605"/>
    <s v="44.52M"/>
    <s v="Yes"/>
    <n v="1.1499999999999999"/>
    <n v="1.1491955631058259"/>
    <x v="1"/>
    <n v="8.0443689417397657E-4"/>
    <n v="-6.9999999999999999E-4"/>
    <x v="1"/>
    <x v="1"/>
  </r>
  <r>
    <x v="26"/>
    <x v="26"/>
    <s v="$0.9997"/>
    <n v="0"/>
    <x v="25"/>
    <n v="0"/>
    <n v="0"/>
    <s v="$563.5M"/>
    <s v="$3,265,776"/>
    <n v="3265776"/>
    <s v="563.65M"/>
    <s v="No"/>
    <n v="0.99970000000000003"/>
    <n v="0.99970000000000003"/>
    <x v="1"/>
    <n v="0"/>
    <n v="0"/>
    <x v="1"/>
    <x v="0"/>
  </r>
  <r>
    <x v="27"/>
    <x v="27"/>
    <s v="$0.01647"/>
    <n v="5.1999999999999998E-3"/>
    <x v="22"/>
    <n v="-5.1999999999999998E-3"/>
    <n v="5.1999999999999998E-3"/>
    <s v="$546.47M"/>
    <s v="$183,208"/>
    <n v="183208"/>
    <s v="33.16B"/>
    <s v="No"/>
    <n v="1.6469999999999999E-2"/>
    <n v="1.6384799044966172E-2"/>
    <x v="1"/>
    <n v="8.5200955033826881E-5"/>
    <n v="-5.1999999999999998E-3"/>
    <x v="1"/>
    <x v="0"/>
  </r>
  <r>
    <x v="28"/>
    <x v="28"/>
    <s v="$0.4946"/>
    <n v="3.0300000000000001E-2"/>
    <x v="26"/>
    <n v="-3.0300000000000001E-2"/>
    <n v="3.0300000000000001E-2"/>
    <s v="$494.41M"/>
    <s v="$138,536"/>
    <n v="138536"/>
    <s v="999.45M"/>
    <s v="No"/>
    <n v="0.49459999999999998"/>
    <n v="0.4800543531010385"/>
    <x v="1"/>
    <n v="1.4545646898961484E-2"/>
    <n v="-3.0300000000000001E-2"/>
    <x v="1"/>
    <x v="0"/>
  </r>
  <r>
    <x v="29"/>
    <x v="29"/>
    <s v="$0.0007355"/>
    <n v="6.6E-3"/>
    <x v="14"/>
    <n v="-6.6E-3"/>
    <n v="6.6E-3"/>
    <s v="$478.12M"/>
    <s v="$772,538"/>
    <n v="772538"/>
    <s v="650B"/>
    <s v="No"/>
    <n v="7.3550000000000004E-4"/>
    <n v="7.3067752831313336E-4"/>
    <x v="1"/>
    <n v="4.8224716868666782E-6"/>
    <n v="-6.6E-3"/>
    <x v="1"/>
    <x v="0"/>
  </r>
  <r>
    <x v="30"/>
    <x v="30"/>
    <s v="$0.5443"/>
    <n v="8.2000000000000007E-3"/>
    <x v="27"/>
    <n v="-8.2000000000000007E-3"/>
    <n v="8.2000000000000007E-3"/>
    <s v="$546.45M"/>
    <s v="$14,386,742"/>
    <n v="14386742"/>
    <s v="1B"/>
    <s v="Yes"/>
    <n v="0.54430000000000001"/>
    <n v="0.53987304106328116"/>
    <x v="1"/>
    <n v="4.42695893671885E-3"/>
    <n v="-8.2000000000000007E-3"/>
    <x v="1"/>
    <x v="1"/>
  </r>
  <r>
    <x v="31"/>
    <x v="31"/>
    <s v="$0.1336"/>
    <n v="3.2000000000000002E-3"/>
    <x v="28"/>
    <n v="-3.2000000000000002E-3"/>
    <n v="3.2000000000000002E-3"/>
    <s v="$110.12M"/>
    <s v="$3,268,919"/>
    <n v="3268919"/>
    <s v="824.21M"/>
    <s v="No"/>
    <n v="0.1336"/>
    <n v="0.13317384370015947"/>
    <x v="1"/>
    <n v="4.2615629984052439E-4"/>
    <n v="-3.2000000000000002E-3"/>
    <x v="1"/>
    <x v="0"/>
  </r>
  <r>
    <x v="32"/>
    <x v="32"/>
    <s v="$0.1043"/>
    <n v="6.3E-3"/>
    <x v="29"/>
    <n v="-6.3E-3"/>
    <n v="6.3E-3"/>
    <s v="$109.85M"/>
    <s v="$4,086,544"/>
    <n v="4086544"/>
    <s v="1.05B"/>
    <s v="No"/>
    <n v="0.1043"/>
    <n v="0.10364702375037266"/>
    <x v="1"/>
    <n v="6.5297624962734613E-4"/>
    <n v="-6.3E-3"/>
    <x v="1"/>
    <x v="0"/>
  </r>
  <r>
    <x v="33"/>
    <x v="33"/>
    <s v="$0.07876"/>
    <n v="1.61E-2"/>
    <x v="30"/>
    <n v="-1.61E-2"/>
    <n v="1.61E-2"/>
    <s v="$71.27M"/>
    <s v="$12,716,009"/>
    <n v="12716009"/>
    <s v="904.86M"/>
    <s v="Yes"/>
    <n v="7.8759999999999997E-2"/>
    <n v="7.7512055900009841E-2"/>
    <x v="1"/>
    <n v="1.2479440999901559E-3"/>
    <n v="-1.61E-2"/>
    <x v="1"/>
    <x v="2"/>
  </r>
  <r>
    <x v="34"/>
    <x v="34"/>
    <s v="$0.01148"/>
    <n v="1.1299999999999999E-2"/>
    <x v="31"/>
    <n v="-1.1299999999999999E-2"/>
    <n v="1.1299999999999999E-2"/>
    <s v="$109.13M"/>
    <s v="$6,571,559"/>
    <n v="6571559"/>
    <s v="9.5B"/>
    <s v="No"/>
    <n v="1.1480000000000001E-2"/>
    <n v="1.1351725501829328E-2"/>
    <x v="1"/>
    <n v="1.2827449817067252E-4"/>
    <n v="-1.1299999999999999E-2"/>
    <x v="1"/>
    <x v="0"/>
  </r>
  <r>
    <x v="35"/>
    <x v="35"/>
    <s v="$0.1536"/>
    <n v="1.01E-2"/>
    <x v="32"/>
    <n v="-1.01E-2"/>
    <n v="1.01E-2"/>
    <s v="$109.06M"/>
    <s v="$11,365,168"/>
    <n v="11365168"/>
    <s v="709.98M"/>
    <s v="No"/>
    <n v="0.15359999999999999"/>
    <n v="0.15206415206415205"/>
    <x v="1"/>
    <n v="1.5358479358479338E-3"/>
    <n v="-1.01E-2"/>
    <x v="1"/>
    <x v="0"/>
  </r>
  <r>
    <x v="36"/>
    <x v="36"/>
    <s v="$0.1680"/>
    <n v="2.8999999999999998E-3"/>
    <x v="33"/>
    <n v="-2.8999999999999998E-3"/>
    <n v="2.8999999999999998E-3"/>
    <s v="$108.68M"/>
    <s v="$44,129,611"/>
    <n v="44129611"/>
    <s v="646.86M"/>
    <s v="No"/>
    <n v="0.16800000000000001"/>
    <n v="0.16751420879449599"/>
    <x v="1"/>
    <n v="4.8579120550401589E-4"/>
    <n v="-2.8999999999999998E-3"/>
    <x v="1"/>
    <x v="0"/>
  </r>
  <r>
    <x v="37"/>
    <x v="37"/>
    <s v="$0.09574"/>
    <n v="1.09E-2"/>
    <x v="34"/>
    <n v="-1.09E-2"/>
    <n v="1.09E-2"/>
    <s v="$71.81M"/>
    <s v="$9,190,572"/>
    <n v="9190572"/>
    <s v="749.99M"/>
    <s v="Yes"/>
    <n v="9.5740000000000006E-2"/>
    <n v="9.470768622019983E-2"/>
    <x v="1"/>
    <n v="1.0323137798001758E-3"/>
    <n v="-1.09E-2"/>
    <x v="1"/>
    <x v="2"/>
  </r>
  <r>
    <x v="38"/>
    <x v="38"/>
    <s v="$0.1537"/>
    <n v="5.4000000000000003E-3"/>
    <x v="35"/>
    <n v="-5.4000000000000003E-3"/>
    <n v="5.4000000000000003E-3"/>
    <s v="$108.02M"/>
    <s v="$7,215,924"/>
    <n v="7215924"/>
    <s v="702.77M"/>
    <s v="No"/>
    <n v="0.1537"/>
    <n v="0.15287447781977323"/>
    <x v="1"/>
    <n v="8.2552218022677315E-4"/>
    <n v="-5.4000000000000003E-3"/>
    <x v="1"/>
    <x v="0"/>
  </r>
  <r>
    <x v="39"/>
    <x v="39"/>
    <s v="$0.01813"/>
    <n v="1.5900000000000001E-2"/>
    <x v="36"/>
    <n v="-1.5900000000000001E-2"/>
    <n v="1.5900000000000001E-2"/>
    <s v="$107.06M"/>
    <s v="$8,143,928"/>
    <n v="8143928"/>
    <s v="5.9B"/>
    <s v="No"/>
    <n v="1.813E-2"/>
    <n v="1.7846244709124912E-2"/>
    <x v="1"/>
    <n v="2.8375529087508802E-4"/>
    <n v="-1.5900000000000001E-2"/>
    <x v="1"/>
    <x v="0"/>
  </r>
  <r>
    <x v="40"/>
    <x v="40"/>
    <s v="$0.01390"/>
    <n v="5.4999999999999997E-3"/>
    <x v="3"/>
    <n v="-5.4999999999999997E-3"/>
    <n v="5.4999999999999997E-3"/>
    <s v="$19.47M"/>
    <s v="$7,675,089"/>
    <n v="7675089"/>
    <s v="1.4B"/>
    <s v="Yes"/>
    <n v="1.3899999999999999E-2"/>
    <n v="1.3823968175037293E-2"/>
    <x v="1"/>
    <n v="7.6031824962706496E-5"/>
    <n v="-5.4999999999999997E-3"/>
    <x v="1"/>
    <x v="3"/>
  </r>
  <r>
    <x v="41"/>
    <x v="41"/>
    <s v="$0.003229"/>
    <n v="3.4200000000000001E-2"/>
    <x v="37"/>
    <n v="-3.4200000000000001E-2"/>
    <n v="3.4200000000000001E-2"/>
    <s v="$71.33M"/>
    <s v="$7,399,528"/>
    <n v="7399528"/>
    <s v="22.09B"/>
    <s v="Yes"/>
    <n v="3.2290000000000001E-3"/>
    <n v="3.1222200734867529E-3"/>
    <x v="1"/>
    <n v="1.0677992651324719E-4"/>
    <n v="-3.4200000000000001E-2"/>
    <x v="1"/>
    <x v="3"/>
  </r>
  <r>
    <x v="42"/>
    <x v="42"/>
    <s v="$0.001517"/>
    <n v="1.8800000000000001E-2"/>
    <x v="38"/>
    <n v="-1.8800000000000001E-2"/>
    <n v="1.8800000000000001E-2"/>
    <s v="$72.35M"/>
    <s v="$15,717,380"/>
    <n v="15717380"/>
    <s v="47.67B"/>
    <s v="No"/>
    <n v="1.5169999999999999E-3"/>
    <n v="1.4890066745190419E-3"/>
    <x v="1"/>
    <n v="2.7993325480957969E-5"/>
    <n v="-1.8800000000000001E-2"/>
    <x v="1"/>
    <x v="0"/>
  </r>
  <r>
    <x v="43"/>
    <x v="43"/>
    <s v="$0.1538"/>
    <n v="1.4E-3"/>
    <x v="39"/>
    <n v="-1.4E-3"/>
    <n v="1.4E-3"/>
    <s v="$72.36M"/>
    <s v="$4,873,644"/>
    <n v="4873644"/>
    <s v="470.44M"/>
    <s v="No"/>
    <n v="0.15379999999999999"/>
    <n v="0.15358498102656279"/>
    <x v="1"/>
    <n v="2.1501897343720322E-4"/>
    <n v="-1.4E-3"/>
    <x v="1"/>
    <x v="0"/>
  </r>
  <r>
    <x v="44"/>
    <x v="44"/>
    <s v="$0.9977"/>
    <n v="1E-4"/>
    <x v="19"/>
    <n v="-1E-4"/>
    <n v="1E-4"/>
    <s v="$652.01M"/>
    <s v="$6,754,108"/>
    <n v="6754108"/>
    <s v="653.46M"/>
    <s v="Yes"/>
    <n v="0.99770000000000003"/>
    <n v="0.99760023997600245"/>
    <x v="1"/>
    <n v="9.9760023997585989E-5"/>
    <n v="-1E-4"/>
    <x v="1"/>
    <x v="1"/>
  </r>
  <r>
    <x v="45"/>
    <x v="45"/>
    <s v="$0.05028"/>
    <n v="9.4999999999999998E-3"/>
    <x v="40"/>
    <n v="-9.4999999999999998E-3"/>
    <n v="9.4999999999999998E-3"/>
    <s v="$109.59M"/>
    <s v="$5,574,946"/>
    <n v="5574946"/>
    <s v="2.17B"/>
    <s v="Yes"/>
    <n v="5.0279999999999998E-2"/>
    <n v="4.9806835066864778E-2"/>
    <x v="1"/>
    <n v="4.7316493313522001E-4"/>
    <n v="-9.4999999999999998E-3"/>
    <x v="1"/>
    <x v="2"/>
  </r>
  <r>
    <x v="46"/>
    <x v="46"/>
    <s v="$0.5361"/>
    <n v="4.8999999999999998E-3"/>
    <x v="41"/>
    <n v="-4.8999999999999998E-3"/>
    <n v="4.8999999999999998E-3"/>
    <s v="$36.9M"/>
    <s v="$5,008,504"/>
    <n v="5008504"/>
    <s v="68.83M"/>
    <s v="Yes"/>
    <n v="0.53610000000000002"/>
    <n v="0.53348591899691522"/>
    <x v="1"/>
    <n v="2.6140810030848005E-3"/>
    <n v="-4.8999999999999998E-3"/>
    <x v="1"/>
    <x v="1"/>
  </r>
  <r>
    <x v="47"/>
    <x v="47"/>
    <s v="$0.1205"/>
    <n v="1.14E-2"/>
    <x v="18"/>
    <n v="-1.14E-2"/>
    <n v="1.14E-2"/>
    <s v="$110.11M"/>
    <s v="$4,884,866"/>
    <n v="4884866"/>
    <s v="913.69M"/>
    <s v="Yes"/>
    <n v="0.1205"/>
    <n v="0.11914178366620524"/>
    <x v="1"/>
    <n v="1.3582163337947512E-3"/>
    <n v="-1.14E-2"/>
    <x v="1"/>
    <x v="2"/>
  </r>
  <r>
    <x v="48"/>
    <x v="48"/>
    <s v="$0.04205"/>
    <n v="2.4400000000000002E-2"/>
    <x v="42"/>
    <n v="-2.4400000000000002E-2"/>
    <n v="2.4400000000000002E-2"/>
    <s v="$71.5M"/>
    <s v="$135,025,163"/>
    <n v="135025163"/>
    <s v="1.7B"/>
    <s v="No"/>
    <n v="4.2049999999999997E-2"/>
    <n v="4.1048418586489652E-2"/>
    <x v="1"/>
    <n v="1.0015814135103454E-3"/>
    <n v="-2.4400000000000002E-2"/>
    <x v="1"/>
    <x v="0"/>
  </r>
  <r>
    <x v="49"/>
    <x v="49"/>
    <s v="$0.05947"/>
    <n v="2.0000000000000001E-4"/>
    <x v="43"/>
    <n v="-2.0000000000000001E-4"/>
    <n v="2.0000000000000001E-4"/>
    <s v="$71.47M"/>
    <s v="$12,909"/>
    <n v="12909"/>
    <s v="1.2B"/>
    <s v="No"/>
    <n v="5.9470000000000002E-2"/>
    <n v="5.945810837832434E-2"/>
    <x v="1"/>
    <n v="1.1891621675662323E-5"/>
    <n v="-2.0000000000000001E-4"/>
    <x v="1"/>
    <x v="0"/>
  </r>
  <r>
    <x v="50"/>
    <x v="50"/>
    <s v="$0.006272"/>
    <n v="5.3E-3"/>
    <x v="44"/>
    <n v="-5.3E-3"/>
    <n v="5.3E-3"/>
    <s v="$56.45M"/>
    <s v="$16,850,030"/>
    <n v="16850030"/>
    <s v="8.99B"/>
    <s v="No"/>
    <n v="6.2719999999999998E-3"/>
    <n v="6.2389336516462737E-3"/>
    <x v="1"/>
    <n v="3.3066348353726072E-5"/>
    <n v="-5.3E-3"/>
    <x v="1"/>
    <x v="0"/>
  </r>
  <r>
    <x v="51"/>
    <x v="51"/>
    <s v="$0.006635"/>
    <n v="1.32E-2"/>
    <x v="45"/>
    <n v="-1.32E-2"/>
    <n v="1.32E-2"/>
    <s v="$51.76M"/>
    <s v="$448,016"/>
    <n v="448016"/>
    <s v="7.8B"/>
    <s v="No"/>
    <n v="6.6350000000000003E-3"/>
    <n v="6.548559020923805E-3"/>
    <x v="1"/>
    <n v="8.6440979076195246E-5"/>
    <n v="-1.32E-2"/>
    <x v="1"/>
    <x v="0"/>
  </r>
  <r>
    <x v="52"/>
    <x v="52"/>
    <s v="$0.1841"/>
    <n v="1.8E-3"/>
    <x v="46"/>
    <n v="-1.8E-3"/>
    <n v="1.8E-3"/>
    <s v="$25.83M"/>
    <s v="$3,675,488"/>
    <n v="3675488"/>
    <s v="140.24M"/>
    <s v="Yes"/>
    <n v="0.18410000000000001"/>
    <n v="0.18376921541225794"/>
    <x v="1"/>
    <n v="3.3078458774207786E-4"/>
    <n v="-1.8E-3"/>
    <x v="1"/>
    <x v="2"/>
  </r>
  <r>
    <x v="53"/>
    <x v="53"/>
    <s v="$0.001253"/>
    <n v="1.5299999999999999E-2"/>
    <x v="47"/>
    <n v="-1.5299999999999999E-2"/>
    <n v="1.5299999999999999E-2"/>
    <s v="$51.48M"/>
    <s v="$5,590,436"/>
    <n v="5590436"/>
    <s v="41.08B"/>
    <s v="No"/>
    <n v="1.253E-3"/>
    <n v="1.2341179946813749E-3"/>
    <x v="1"/>
    <n v="1.8882005318625111E-5"/>
    <n v="-1.5299999999999999E-2"/>
    <x v="1"/>
    <x v="0"/>
  </r>
  <r>
    <x v="54"/>
    <x v="54"/>
    <s v="$0.08626"/>
    <n v="9.1999999999999998E-3"/>
    <x v="48"/>
    <n v="-9.1999999999999998E-3"/>
    <n v="9.1999999999999998E-3"/>
    <s v="$51.37M"/>
    <s v="$2,536,218"/>
    <n v="2536218"/>
    <s v="595.52M"/>
    <s v="No"/>
    <n v="8.6260000000000003E-2"/>
    <n v="8.5473642489100277E-2"/>
    <x v="1"/>
    <n v="7.8635751089972672E-4"/>
    <n v="-9.1999999999999998E-3"/>
    <x v="1"/>
    <x v="0"/>
  </r>
  <r>
    <x v="55"/>
    <x v="55"/>
    <s v="$0.06667"/>
    <n v="1.1000000000000001E-3"/>
    <x v="49"/>
    <n v="-1.1000000000000001E-3"/>
    <n v="1.1000000000000001E-3"/>
    <s v="$15.36M"/>
    <s v="$3,645,223"/>
    <n v="3645223"/>
    <s v="230.41M"/>
    <s v="Yes"/>
    <n v="6.6669999999999993E-2"/>
    <n v="6.659674358205972E-2"/>
    <x v="1"/>
    <n v="7.3256417940273377E-5"/>
    <n v="-1.1000000000000001E-3"/>
    <x v="1"/>
    <x v="2"/>
  </r>
  <r>
    <x v="56"/>
    <x v="56"/>
    <s v="$2.53"/>
    <n v="4.4000000000000003E-3"/>
    <x v="50"/>
    <n v="-4.4000000000000003E-3"/>
    <n v="4.4000000000000003E-3"/>
    <s v="$36.37M"/>
    <s v="$2,914,375"/>
    <n v="2914375"/>
    <s v="14.34M"/>
    <s v="Yes"/>
    <n v="2.5299999999999998"/>
    <n v="2.5189167662285943"/>
    <x v="1"/>
    <n v="1.1083233771405521E-2"/>
    <n v="-4.4000000000000003E-3"/>
    <x v="1"/>
    <x v="1"/>
  </r>
  <r>
    <x v="57"/>
    <x v="57"/>
    <s v="$0.002875"/>
    <n v="4.4999999999999997E-3"/>
    <x v="20"/>
    <n v="-4.4999999999999997E-3"/>
    <n v="4.4999999999999997E-3"/>
    <s v="$50.98M"/>
    <s v="$3,358,220"/>
    <n v="3358220"/>
    <s v="17.72B"/>
    <s v="No"/>
    <n v="2.875E-3"/>
    <n v="2.8621204579392734E-3"/>
    <x v="1"/>
    <n v="1.2879542060726529E-5"/>
    <n v="-4.4999999999999997E-3"/>
    <x v="1"/>
    <x v="0"/>
  </r>
  <r>
    <x v="58"/>
    <x v="58"/>
    <s v="$9.67"/>
    <n v="1E-3"/>
    <x v="6"/>
    <n v="-1E-3"/>
    <n v="1E-3"/>
    <s v="$50.88M"/>
    <s v="$101,491"/>
    <n v="101491"/>
    <s v="5.26M"/>
    <s v="No"/>
    <n v="9.67"/>
    <n v="9.6603396603396607"/>
    <x v="1"/>
    <n v="9.66033966033919E-3"/>
    <n v="-1E-3"/>
    <x v="0"/>
    <x v="0"/>
  </r>
  <r>
    <x v="59"/>
    <x v="59"/>
    <s v="$0.002934"/>
    <n v="7.3000000000000001E-3"/>
    <x v="51"/>
    <n v="-7.3000000000000001E-3"/>
    <n v="7.3000000000000001E-3"/>
    <s v="$15.19M"/>
    <s v="$2,771,456"/>
    <n v="2771456"/>
    <s v="5.17B"/>
    <s v="Yes"/>
    <n v="2.934E-3"/>
    <n v="2.9127370197557824E-3"/>
    <x v="1"/>
    <n v="2.1262980244217584E-5"/>
    <n v="-7.3000000000000001E-3"/>
    <x v="1"/>
    <x v="3"/>
  </r>
  <r>
    <x v="60"/>
    <x v="60"/>
    <s v="$0.3031"/>
    <n v="1.7299999999999999E-2"/>
    <x v="52"/>
    <n v="-1.7299999999999999E-2"/>
    <n v="1.7299999999999999E-2"/>
    <s v="$37.1M"/>
    <s v="$17,173"/>
    <n v="17173"/>
    <s v="122.34M"/>
    <s v="No"/>
    <n v="0.30309999999999998"/>
    <n v="0.29794554212130142"/>
    <x v="1"/>
    <n v="5.1544578786985595E-3"/>
    <n v="-1.7299999999999999E-2"/>
    <x v="1"/>
    <x v="0"/>
  </r>
  <r>
    <x v="61"/>
    <x v="61"/>
    <s v="$1.26"/>
    <n v="3.0999999999999999E-3"/>
    <x v="53"/>
    <n v="-3.0999999999999999E-3"/>
    <n v="3.0999999999999999E-3"/>
    <s v="$36.94M"/>
    <s v="$1,913,531"/>
    <n v="1913531"/>
    <s v="29.27M"/>
    <s v="No"/>
    <n v="1.26"/>
    <n v="1.2561060711793439"/>
    <x v="1"/>
    <n v="3.8939288206560896E-3"/>
    <n v="-3.0999999999999999E-3"/>
    <x v="1"/>
    <x v="0"/>
  </r>
  <r>
    <x v="62"/>
    <x v="62"/>
    <s v="$0.03010"/>
    <n v="1.5800000000000002E-2"/>
    <x v="54"/>
    <n v="-1.5800000000000002E-2"/>
    <n v="1.5800000000000002E-2"/>
    <s v="$19.51M"/>
    <s v="$2,760,725"/>
    <n v="2760725"/>
    <s v="647.87M"/>
    <s v="Yes"/>
    <n v="3.0099999999999998E-2"/>
    <n v="2.9631817286867489E-2"/>
    <x v="1"/>
    <n v="4.6818271313250892E-4"/>
    <n v="-1.5800000000000002E-2"/>
    <x v="1"/>
    <x v="3"/>
  </r>
  <r>
    <x v="63"/>
    <x v="63"/>
    <s v="$0.03958"/>
    <n v="1.9699999999999999E-2"/>
    <x v="55"/>
    <n v="-1.9699999999999999E-2"/>
    <n v="1.9699999999999999E-2"/>
    <s v="$6.91M"/>
    <s v="$2,431,321"/>
    <n v="2431321"/>
    <s v="174.47M"/>
    <s v="Yes"/>
    <n v="3.9579999999999997E-2"/>
    <n v="3.8815337844464053E-2"/>
    <x v="1"/>
    <n v="7.6466215553594452E-4"/>
    <n v="-1.9699999999999999E-2"/>
    <x v="1"/>
    <x v="3"/>
  </r>
  <r>
    <x v="64"/>
    <x v="64"/>
    <s v="$0.01497"/>
    <n v="4.0000000000000002E-4"/>
    <x v="2"/>
    <n v="-4.0000000000000002E-4"/>
    <n v="4.0000000000000002E-4"/>
    <s v="$36.73M"/>
    <s v="$260,802"/>
    <n v="260802"/>
    <s v="2.45B"/>
    <s v="No"/>
    <n v="1.4970000000000001E-2"/>
    <n v="1.4964014394242305E-2"/>
    <x v="1"/>
    <n v="5.9856057576957583E-6"/>
    <n v="-4.0000000000000002E-4"/>
    <x v="1"/>
    <x v="0"/>
  </r>
  <r>
    <x v="65"/>
    <x v="65"/>
    <s v="$1.09"/>
    <n v="2.9999999999999997E-4"/>
    <x v="4"/>
    <n v="-2.9999999999999997E-4"/>
    <n v="2.9999999999999997E-4"/>
    <s v="$635.98M"/>
    <s v="$2,293,702"/>
    <n v="2293702"/>
    <s v="581.35M"/>
    <s v="Yes"/>
    <n v="1.0900000000000001"/>
    <n v="1.0896730980705789"/>
    <x v="1"/>
    <n v="3.2690192942119722E-4"/>
    <n v="-2.9999999999999997E-4"/>
    <x v="1"/>
    <x v="1"/>
  </r>
  <r>
    <x v="66"/>
    <x v="66"/>
    <s v="$0.02654"/>
    <n v="3.3E-3"/>
    <x v="56"/>
    <n v="-3.3E-3"/>
    <n v="3.3E-3"/>
    <s v="$25.88M"/>
    <s v="$2,231,412"/>
    <n v="2231412"/>
    <s v="974.89M"/>
    <s v="Yes"/>
    <n v="2.6540000000000001E-2"/>
    <n v="2.6452706069969099E-2"/>
    <x v="1"/>
    <n v="8.729393003090169E-5"/>
    <n v="-3.3E-3"/>
    <x v="1"/>
    <x v="3"/>
  </r>
  <r>
    <x v="67"/>
    <x v="67"/>
    <s v="$0.02100"/>
    <n v="8.0000000000000004E-4"/>
    <x v="57"/>
    <n v="-8.0000000000000004E-4"/>
    <n v="8.0000000000000004E-4"/>
    <s v="$35.98M"/>
    <s v="$252,063"/>
    <n v="252063"/>
    <s v="1.71B"/>
    <s v="No"/>
    <n v="2.1000000000000001E-2"/>
    <n v="2.09832134292566E-2"/>
    <x v="1"/>
    <n v="1.678657074340173E-5"/>
    <n v="-8.0000000000000004E-4"/>
    <x v="1"/>
    <x v="0"/>
  </r>
  <r>
    <x v="68"/>
    <x v="68"/>
    <s v="$0.2442"/>
    <n v="3.2000000000000002E-3"/>
    <x v="28"/>
    <n v="-3.2000000000000002E-3"/>
    <n v="3.2000000000000002E-3"/>
    <s v="$35.96M"/>
    <s v="$3,564,164"/>
    <n v="3564164"/>
    <s v="147.24M"/>
    <s v="No"/>
    <n v="0.2442"/>
    <n v="0.24342105263157893"/>
    <x v="1"/>
    <n v="7.7894736842107348E-4"/>
    <n v="-3.2000000000000002E-3"/>
    <x v="1"/>
    <x v="0"/>
  </r>
  <r>
    <x v="69"/>
    <x v="69"/>
    <s v="$0.3388"/>
    <n v="6.8999999999999999E-3"/>
    <x v="58"/>
    <n v="-6.8999999999999999E-3"/>
    <n v="6.8999999999999999E-3"/>
    <s v="$35.84M"/>
    <s v="$8,693,511"/>
    <n v="8693511"/>
    <s v="105.76M"/>
    <s v="No"/>
    <n v="0.33879999999999999"/>
    <n v="0.33647829973185023"/>
    <x v="1"/>
    <n v="2.3217002681497623E-3"/>
    <n v="-6.8999999999999999E-3"/>
    <x v="1"/>
    <x v="0"/>
  </r>
  <r>
    <x v="70"/>
    <x v="70"/>
    <s v="$0.2993"/>
    <n v="1.5E-3"/>
    <x v="59"/>
    <n v="-1.5E-3"/>
    <n v="1.5E-3"/>
    <s v="$26.28M"/>
    <s v="$254,347"/>
    <n v="254347"/>
    <s v="87.8M"/>
    <s v="No"/>
    <n v="0.29930000000000001"/>
    <n v="0.29885172241637542"/>
    <x v="1"/>
    <n v="4.4827758362459003E-4"/>
    <n v="-1.5E-3"/>
    <x v="1"/>
    <x v="0"/>
  </r>
  <r>
    <x v="71"/>
    <x v="71"/>
    <s v="$0.1401"/>
    <n v="1.77E-2"/>
    <x v="60"/>
    <n v="-1.77E-2"/>
    <n v="1.77E-2"/>
    <s v="$26.22M"/>
    <s v="$2,161,326"/>
    <n v="2161326"/>
    <s v="187.11M"/>
    <s v="No"/>
    <n v="0.1401"/>
    <n v="0.13766335855360126"/>
    <x v="1"/>
    <n v="2.4366414463987407E-3"/>
    <n v="-1.77E-2"/>
    <x v="1"/>
    <x v="0"/>
  </r>
  <r>
    <x v="72"/>
    <x v="72"/>
    <s v="$0.1279"/>
    <n v="7.6E-3"/>
    <x v="1"/>
    <n v="-7.6E-3"/>
    <n v="7.6E-3"/>
    <s v="$26.07M"/>
    <s v="$33,236,555"/>
    <n v="33236555"/>
    <s v="203.75M"/>
    <s v="No"/>
    <n v="0.12790000000000001"/>
    <n v="0.12693529178245336"/>
    <x v="1"/>
    <n v="9.6470821754665592E-4"/>
    <n v="-7.6E-3"/>
    <x v="1"/>
    <x v="0"/>
  </r>
  <r>
    <x v="73"/>
    <x v="73"/>
    <s v="$0.5232"/>
    <n v="2.1899999999999999E-2"/>
    <x v="61"/>
    <n v="-2.1899999999999999E-2"/>
    <n v="2.1899999999999999E-2"/>
    <s v="$26.15M"/>
    <s v="$5,485,485"/>
    <n v="5485485"/>
    <s v="49.97M"/>
    <s v="No"/>
    <n v="0.5232"/>
    <n v="0.51198747431255498"/>
    <x v="1"/>
    <n v="1.1212525687445019E-2"/>
    <n v="-2.1899999999999999E-2"/>
    <x v="1"/>
    <x v="0"/>
  </r>
  <r>
    <x v="74"/>
    <x v="74"/>
    <s v="$0.003926"/>
    <n v="9.4000000000000004E-3"/>
    <x v="8"/>
    <n v="-9.4000000000000004E-3"/>
    <n v="9.4000000000000004E-3"/>
    <s v="$25.94M"/>
    <s v="$4,157,460"/>
    <n v="4157460"/>
    <s v="6.6B"/>
    <s v="No"/>
    <n v="3.9259999999999998E-3"/>
    <n v="3.8894392708539722E-3"/>
    <x v="1"/>
    <n v="3.6560729146027562E-5"/>
    <n v="-9.4000000000000004E-3"/>
    <x v="1"/>
    <x v="0"/>
  </r>
  <r>
    <x v="75"/>
    <x v="75"/>
    <s v="$0.05651"/>
    <n v="1.46E-2"/>
    <x v="62"/>
    <n v="-1.46E-2"/>
    <n v="1.46E-2"/>
    <s v="$25.85M"/>
    <s v="$3,148,017"/>
    <n v="3148017"/>
    <s v="457.31M"/>
    <s v="No"/>
    <n v="5.6509999999999998E-2"/>
    <n v="5.5696826335501673E-2"/>
    <x v="1"/>
    <n v="8.1317366449832479E-4"/>
    <n v="-1.46E-2"/>
    <x v="1"/>
    <x v="0"/>
  </r>
  <r>
    <x v="76"/>
    <x v="76"/>
    <s v="$0.07508"/>
    <n v="6.9999999999999999E-4"/>
    <x v="24"/>
    <n v="-6.9999999999999999E-4"/>
    <n v="6.9999999999999999E-4"/>
    <s v="$15.25M"/>
    <s v="$1,739,142"/>
    <n v="1739142"/>
    <s v="203.02M"/>
    <s v="Yes"/>
    <n v="7.5079999999999994E-2"/>
    <n v="7.5027480763465576E-2"/>
    <x v="1"/>
    <n v="5.2519236534417924E-5"/>
    <n v="-6.9999999999999999E-4"/>
    <x v="1"/>
    <x v="2"/>
  </r>
  <r>
    <x v="77"/>
    <x v="77"/>
    <s v="$0.01163"/>
    <n v="4.1999999999999997E-3"/>
    <x v="63"/>
    <n v="-4.1999999999999997E-3"/>
    <n v="4.1999999999999997E-3"/>
    <s v="$11.61M"/>
    <s v="$1,737,116"/>
    <n v="1737116"/>
    <s v="997.96M"/>
    <s v="Yes"/>
    <n v="1.163E-2"/>
    <n v="1.1581358295160327E-2"/>
    <x v="1"/>
    <n v="4.8641704839673047E-5"/>
    <n v="-4.1999999999999997E-3"/>
    <x v="1"/>
    <x v="3"/>
  </r>
  <r>
    <x v="78"/>
    <x v="78"/>
    <s v="$0.001245"/>
    <n v="2.5000000000000001E-3"/>
    <x v="64"/>
    <n v="-2.5000000000000001E-3"/>
    <n v="2.5000000000000001E-3"/>
    <s v="$36.78M"/>
    <s v="$1,669,915"/>
    <n v="1669915"/>
    <s v="29.54B"/>
    <s v="Yes"/>
    <n v="1.245E-3"/>
    <n v="1.2418952618453865E-3"/>
    <x v="1"/>
    <n v="3.1047381546134723E-6"/>
    <n v="-2.5000000000000001E-3"/>
    <x v="1"/>
    <x v="3"/>
  </r>
  <r>
    <x v="79"/>
    <x v="79"/>
    <s v="$0.02085"/>
    <n v="1.26E-2"/>
    <x v="65"/>
    <n v="-1.26E-2"/>
    <n v="1.26E-2"/>
    <s v="$25.73M"/>
    <s v="$5,290,020"/>
    <n v="5290020"/>
    <s v="1.23B"/>
    <s v="No"/>
    <n v="2.085E-2"/>
    <n v="2.0590558957140036E-2"/>
    <x v="1"/>
    <n v="2.5944104285996472E-4"/>
    <n v="-1.26E-2"/>
    <x v="1"/>
    <x v="0"/>
  </r>
  <r>
    <x v="80"/>
    <x v="80"/>
    <s v="$0.002244"/>
    <n v="4.1999999999999997E-3"/>
    <x v="63"/>
    <n v="-4.1999999999999997E-3"/>
    <n v="4.1999999999999997E-3"/>
    <s v="$19.94M"/>
    <s v="$2,554,402"/>
    <n v="2554402"/>
    <s v="8.88B"/>
    <s v="No"/>
    <n v="2.2439999999999999E-3"/>
    <n v="2.2346146186018722E-3"/>
    <x v="1"/>
    <n v="9.3853813981276991E-6"/>
    <n v="-4.1999999999999997E-3"/>
    <x v="1"/>
    <x v="0"/>
  </r>
  <r>
    <x v="81"/>
    <x v="81"/>
    <s v="$0.02041"/>
    <n v="4.24E-2"/>
    <x v="66"/>
    <n v="-4.24E-2"/>
    <n v="4.24E-2"/>
    <s v="$19.77M"/>
    <s v="$174,082"/>
    <n v="174082"/>
    <s v="968.44M"/>
    <s v="No"/>
    <n v="2.0410000000000001E-2"/>
    <n v="1.9579815809669995E-2"/>
    <x v="1"/>
    <n v="8.301841903300064E-4"/>
    <n v="-4.24E-2"/>
    <x v="1"/>
    <x v="0"/>
  </r>
  <r>
    <x v="82"/>
    <x v="82"/>
    <s v="$0.001223"/>
    <n v="2.0000000000000001E-4"/>
    <x v="43"/>
    <n v="-2.0000000000000001E-4"/>
    <n v="2.0000000000000001E-4"/>
    <s v="$19.74M"/>
    <s v="$362,962"/>
    <n v="362962"/>
    <s v="16.13B"/>
    <s v="No"/>
    <n v="1.2229999999999999E-3"/>
    <n v="1.2227554489102179E-3"/>
    <x v="1"/>
    <n v="2.4455108978203681E-7"/>
    <n v="-2.0000000000000001E-4"/>
    <x v="1"/>
    <x v="0"/>
  </r>
  <r>
    <x v="83"/>
    <x v="83"/>
    <s v="$0.0005920"/>
    <n v="6.7999999999999996E-3"/>
    <x v="67"/>
    <n v="-6.7999999999999996E-3"/>
    <n v="6.7999999999999996E-3"/>
    <s v="$1.59M"/>
    <s v="$1,660,204"/>
    <n v="1660204"/>
    <s v="2.67B"/>
    <s v="Yes"/>
    <n v="5.9199999999999997E-4"/>
    <n v="5.8800158919348436E-4"/>
    <x v="1"/>
    <n v="3.9984108065156069E-6"/>
    <n v="-6.7999999999999996E-3"/>
    <x v="1"/>
    <x v="3"/>
  </r>
  <r>
    <x v="84"/>
    <x v="84"/>
    <s v="$108.17"/>
    <n v="5.9999999999999995E-4"/>
    <x v="21"/>
    <n v="-5.9999999999999995E-4"/>
    <n v="5.9999999999999995E-4"/>
    <s v="$15.25M"/>
    <s v="$1,639,272"/>
    <n v="1639272"/>
    <s v="141K"/>
    <s v="Yes"/>
    <n v="108.17"/>
    <n v="108.10513691784929"/>
    <x v="0"/>
    <n v="6.4863082150708351E-2"/>
    <n v="-5.9999999999999995E-4"/>
    <x v="0"/>
    <x v="0"/>
  </r>
  <r>
    <x v="85"/>
    <x v="85"/>
    <s v="$0.00005125"/>
    <n v="5.7000000000000002E-3"/>
    <x v="68"/>
    <n v="-5.7000000000000002E-3"/>
    <n v="5.7000000000000002E-3"/>
    <s v="$51.26M"/>
    <s v="$1,414,981"/>
    <n v="1414981"/>
    <s v="1T"/>
    <s v="Yes"/>
    <n v="5.1249999999999999E-5"/>
    <n v="5.0959530675151633E-5"/>
    <x v="1"/>
    <n v="2.9046932484836545E-7"/>
    <n v="-5.7000000000000002E-3"/>
    <x v="1"/>
    <x v="3"/>
  </r>
  <r>
    <x v="86"/>
    <x v="86"/>
    <s v="$0.05197"/>
    <n v="1.04E-2"/>
    <x v="69"/>
    <n v="-1.04E-2"/>
    <n v="1.04E-2"/>
    <s v="$19.56M"/>
    <s v="$2,452,497"/>
    <n v="2452497"/>
    <s v="376.38M"/>
    <s v="No"/>
    <n v="5.1970000000000002E-2"/>
    <n v="5.1435075217735556E-2"/>
    <x v="1"/>
    <n v="5.3492478226444679E-4"/>
    <n v="-1.04E-2"/>
    <x v="1"/>
    <x v="0"/>
  </r>
  <r>
    <x v="87"/>
    <x v="87"/>
    <s v="$0.01749"/>
    <n v="5.4999999999999997E-3"/>
    <x v="3"/>
    <n v="-5.4999999999999997E-3"/>
    <n v="5.4999999999999997E-3"/>
    <s v="$19.55M"/>
    <s v="$45"/>
    <n v="45"/>
    <s v="1.11B"/>
    <s v="No"/>
    <n v="1.7489999999999999E-2"/>
    <n v="1.7394331178518147E-2"/>
    <x v="1"/>
    <n v="9.5668821481851435E-5"/>
    <n v="-5.4999999999999997E-3"/>
    <x v="1"/>
    <x v="0"/>
  </r>
  <r>
    <x v="88"/>
    <x v="88"/>
    <s v="$0.02198"/>
    <n v="1.41E-2"/>
    <x v="70"/>
    <n v="-1.41E-2"/>
    <n v="1.41E-2"/>
    <s v="$11.81M"/>
    <s v="$1,407,422"/>
    <n v="1407422"/>
    <s v="537.27M"/>
    <s v="Yes"/>
    <n v="2.198E-2"/>
    <n v="2.1674391085691747E-2"/>
    <x v="1"/>
    <n v="3.0560891430825299E-4"/>
    <n v="-1.41E-2"/>
    <x v="1"/>
    <x v="3"/>
  </r>
  <r>
    <x v="89"/>
    <x v="89"/>
    <s v="$0.01544"/>
    <n v="1.6999999999999999E-3"/>
    <x v="71"/>
    <n v="-1.6999999999999999E-3"/>
    <n v="1.6999999999999999E-3"/>
    <s v="$72.37M"/>
    <s v="$1,356,568"/>
    <n v="1356568"/>
    <s v="4.68B"/>
    <s v="Yes"/>
    <n v="1.5440000000000001E-2"/>
    <n v="1.5413796545872018E-2"/>
    <x v="1"/>
    <n v="2.6203454127982431E-5"/>
    <n v="-1.6999999999999999E-3"/>
    <x v="1"/>
    <x v="3"/>
  </r>
  <r>
    <x v="90"/>
    <x v="90"/>
    <s v="$0.04410"/>
    <n v="9.5999999999999992E-3"/>
    <x v="9"/>
    <n v="-9.5999999999999992E-3"/>
    <n v="9.5999999999999992E-3"/>
    <s v="$15.61M"/>
    <s v="$4,797,522"/>
    <n v="4797522"/>
    <s v="353.95M"/>
    <s v="No"/>
    <n v="4.41E-2"/>
    <n v="4.3680665610142631E-2"/>
    <x v="1"/>
    <n v="4.1933438985736898E-4"/>
    <n v="-9.5999999999999992E-3"/>
    <x v="1"/>
    <x v="0"/>
  </r>
  <r>
    <x v="91"/>
    <x v="91"/>
    <s v="$0.01837"/>
    <n v="4.0000000000000001E-3"/>
    <x v="72"/>
    <n v="-4.0000000000000001E-3"/>
    <n v="4.0000000000000001E-3"/>
    <s v="$15.63M"/>
    <s v="$884,405"/>
    <n v="884405"/>
    <s v="850.96M"/>
    <s v="No"/>
    <n v="1.8370000000000001E-2"/>
    <n v="1.8296812749003986E-2"/>
    <x v="1"/>
    <n v="7.3187250996014502E-5"/>
    <n v="-4.0000000000000001E-3"/>
    <x v="1"/>
    <x v="0"/>
  </r>
  <r>
    <x v="92"/>
    <x v="92"/>
    <s v="$0.0006265"/>
    <n v="1.9E-3"/>
    <x v="73"/>
    <n v="-1.9E-3"/>
    <n v="1.9E-3"/>
    <s v="$1.24M"/>
    <s v="$1,332,029"/>
    <n v="1332029"/>
    <s v="1.97B"/>
    <s v="Yes"/>
    <n v="6.265E-4"/>
    <n v="6.2531190737598558E-4"/>
    <x v="1"/>
    <n v="1.1880926240144182E-6"/>
    <n v="-1.9E-3"/>
    <x v="1"/>
    <x v="3"/>
  </r>
  <r>
    <x v="93"/>
    <x v="8"/>
    <s v="$0.009443"/>
    <n v="1.3899999999999999E-2"/>
    <x v="74"/>
    <n v="-1.3899999999999999E-2"/>
    <n v="1.3899999999999999E-2"/>
    <s v="$9.25M"/>
    <s v="$1,315,522"/>
    <n v="1315522"/>
    <s v="979.12M"/>
    <s v="Yes"/>
    <n v="9.443E-3"/>
    <n v="9.3135417694052668E-3"/>
    <x v="1"/>
    <n v="1.2945823059473324E-4"/>
    <n v="-1.3899999999999999E-2"/>
    <x v="1"/>
    <x v="3"/>
  </r>
  <r>
    <x v="94"/>
    <x v="93"/>
    <s v="$0.1111"/>
    <n v="7.1000000000000004E-3"/>
    <x v="75"/>
    <n v="-7.1000000000000004E-3"/>
    <n v="7.1000000000000004E-3"/>
    <s v="$108.35M"/>
    <s v="$1,068,402"/>
    <n v="1068402"/>
    <s v="974.94M"/>
    <s v="Yes"/>
    <n v="0.1111"/>
    <n v="0.1103167510674213"/>
    <x v="1"/>
    <n v="7.8324893257870898E-4"/>
    <n v="-7.1000000000000004E-3"/>
    <x v="1"/>
    <x v="2"/>
  </r>
  <r>
    <x v="95"/>
    <x v="94"/>
    <s v="$1.60"/>
    <n v="1.8E-3"/>
    <x v="46"/>
    <n v="-1.8E-3"/>
    <n v="1.8E-3"/>
    <s v="$15.31M"/>
    <s v="$3,216,530"/>
    <n v="3216530"/>
    <s v="9.55M"/>
    <s v="No"/>
    <n v="1.6"/>
    <n v="1.5971251746855661"/>
    <x v="1"/>
    <n v="2.8748253144339486E-3"/>
    <n v="-1.8E-3"/>
    <x v="1"/>
    <x v="0"/>
  </r>
  <r>
    <x v="96"/>
    <x v="95"/>
    <s v="$0.03288"/>
    <n v="1E-4"/>
    <x v="19"/>
    <n v="-1E-4"/>
    <n v="1E-4"/>
    <s v="$19.72M"/>
    <s v="$999,710"/>
    <n v="999710"/>
    <s v="599.63M"/>
    <s v="Yes"/>
    <n v="3.288E-2"/>
    <n v="3.287671232876712E-2"/>
    <x v="1"/>
    <n v="3.28767123287943E-6"/>
    <n v="-1E-4"/>
    <x v="1"/>
    <x v="3"/>
  </r>
  <r>
    <x v="97"/>
    <x v="96"/>
    <s v="$0.09003"/>
    <n v="2.2000000000000001E-3"/>
    <x v="76"/>
    <n v="-2.2000000000000001E-3"/>
    <n v="2.2000000000000001E-3"/>
    <s v="$5.24M"/>
    <s v="$955,799"/>
    <n v="955799"/>
    <s v="58.23M"/>
    <s v="Yes"/>
    <n v="9.0029999999999999E-2"/>
    <n v="8.9832368788664935E-2"/>
    <x v="1"/>
    <n v="1.9763121133506423E-4"/>
    <n v="-2.2000000000000001E-3"/>
    <x v="1"/>
    <x v="2"/>
  </r>
  <r>
    <x v="98"/>
    <x v="97"/>
    <s v="$2.13"/>
    <n v="5.0000000000000001E-4"/>
    <x v="77"/>
    <n v="-5.0000000000000001E-4"/>
    <n v="5.0000000000000001E-4"/>
    <s v="$36.4M"/>
    <s v="$867,656"/>
    <n v="867656"/>
    <s v="17.07M"/>
    <s v="Yes"/>
    <n v="2.13"/>
    <n v="2.128935532233883"/>
    <x v="1"/>
    <n v="1.0644677661169055E-3"/>
    <n v="-5.0000000000000001E-4"/>
    <x v="1"/>
    <x v="1"/>
  </r>
  <r>
    <x v="99"/>
    <x v="98"/>
    <s v="$0.06844"/>
    <n v="2.5100000000000001E-2"/>
    <x v="78"/>
    <n v="-2.5100000000000001E-2"/>
    <n v="2.5100000000000001E-2"/>
    <s v="$15.15M"/>
    <s v="$128,760"/>
    <n v="128760"/>
    <s v="221.4M"/>
    <s v="No"/>
    <n v="6.8440000000000001E-2"/>
    <n v="6.6764218125060976E-2"/>
    <x v="1"/>
    <n v="1.6757818749390252E-3"/>
    <n v="-2.5100000000000001E-2"/>
    <x v="1"/>
    <x v="0"/>
  </r>
  <r>
    <x v="100"/>
    <x v="99"/>
    <s v="$0.1976"/>
    <n v="1.2E-2"/>
    <x v="79"/>
    <n v="-1.2E-2"/>
    <n v="1.2E-2"/>
    <s v="$1.98M"/>
    <s v="$858,809"/>
    <n v="858809"/>
    <s v="10M"/>
    <s v="Yes"/>
    <n v="0.1976"/>
    <n v="0.19525691699604741"/>
    <x v="1"/>
    <n v="2.3430830039525841E-3"/>
    <n v="-1.2E-2"/>
    <x v="1"/>
    <x v="2"/>
  </r>
  <r>
    <x v="101"/>
    <x v="100"/>
    <s v="$0.01177"/>
    <n v="1.8E-3"/>
    <x v="46"/>
    <n v="-1.8E-3"/>
    <n v="1.8E-3"/>
    <s v="$51.5M"/>
    <s v="$817,224"/>
    <n v="817224"/>
    <s v="4.37B"/>
    <s v="Yes"/>
    <n v="1.1769999999999999E-2"/>
    <n v="1.1748852066280693E-2"/>
    <x v="1"/>
    <n v="2.1147933719305873E-5"/>
    <n v="-1.8E-3"/>
    <x v="1"/>
    <x v="3"/>
  </r>
  <r>
    <x v="102"/>
    <x v="101"/>
    <s v="$0.0004951"/>
    <n v="4.0500000000000001E-2"/>
    <x v="80"/>
    <n v="-4.0500000000000001E-2"/>
    <n v="4.0500000000000001E-2"/>
    <s v="$11.96M"/>
    <s v="$4,772"/>
    <n v="4772"/>
    <s v="24.15B"/>
    <s v="No"/>
    <n v="4.9510000000000005E-4"/>
    <n v="4.7582892839980785E-4"/>
    <x v="1"/>
    <n v="1.9271071600192205E-5"/>
    <n v="-4.0500000000000001E-2"/>
    <x v="1"/>
    <x v="0"/>
  </r>
  <r>
    <x v="103"/>
    <x v="102"/>
    <s v="$0.5306"/>
    <n v="5.9999999999999995E-4"/>
    <x v="21"/>
    <n v="-5.9999999999999995E-4"/>
    <n v="5.9999999999999995E-4"/>
    <s v="$5.15M"/>
    <s v="$697,351"/>
    <n v="697351"/>
    <s v="9.7M"/>
    <s v="Yes"/>
    <n v="0.53059999999999996"/>
    <n v="0.53028183090145908"/>
    <x v="1"/>
    <n v="3.1816909854087694E-4"/>
    <n v="-5.9999999999999995E-4"/>
    <x v="1"/>
    <x v="1"/>
  </r>
  <r>
    <x v="104"/>
    <x v="103"/>
    <s v="$0.05599"/>
    <n v="2.9999999999999997E-4"/>
    <x v="4"/>
    <n v="-2.9999999999999997E-4"/>
    <n v="2.9999999999999997E-4"/>
    <s v="$11.95M"/>
    <s v="$2,332,177"/>
    <n v="2332177"/>
    <s v="213.36M"/>
    <s v="No"/>
    <n v="5.5989999999999998E-2"/>
    <n v="5.597320803758872E-2"/>
    <x v="1"/>
    <n v="1.6791962411277783E-5"/>
    <n v="-2.9999999999999997E-4"/>
    <x v="1"/>
    <x v="0"/>
  </r>
  <r>
    <x v="105"/>
    <x v="104"/>
    <s v="$0.01193"/>
    <n v="5.0000000000000001E-4"/>
    <x v="77"/>
    <n v="-5.0000000000000001E-4"/>
    <n v="5.0000000000000001E-4"/>
    <s v="$11.92M"/>
    <s v="$2,707,699"/>
    <n v="2707699"/>
    <s v="998.98M"/>
    <s v="No"/>
    <n v="1.193E-2"/>
    <n v="1.1924037981009496E-2"/>
    <x v="1"/>
    <n v="5.9620189905035953E-6"/>
    <n v="-5.0000000000000001E-4"/>
    <x v="1"/>
    <x v="0"/>
  </r>
  <r>
    <x v="106"/>
    <x v="105"/>
    <s v="$0.4212"/>
    <n v="2.2000000000000001E-3"/>
    <x v="76"/>
    <n v="-2.2000000000000001E-3"/>
    <n v="2.2000000000000001E-3"/>
    <s v="$11.85M"/>
    <s v="$708,276"/>
    <n v="708276"/>
    <s v="28.13M"/>
    <s v="No"/>
    <n v="0.42120000000000002"/>
    <n v="0.42027539413290765"/>
    <x v="1"/>
    <n v="9.2460586709236514E-4"/>
    <n v="-2.2000000000000001E-3"/>
    <x v="1"/>
    <x v="0"/>
  </r>
  <r>
    <x v="107"/>
    <x v="106"/>
    <s v="$0.007830"/>
    <n v="5.1000000000000004E-3"/>
    <x v="81"/>
    <n v="-5.1000000000000004E-3"/>
    <n v="5.1000000000000004E-3"/>
    <s v="$11.95M"/>
    <s v="$680,959"/>
    <n v="680959"/>
    <s v="1.52B"/>
    <s v="Yes"/>
    <n v="7.8300000000000002E-3"/>
    <n v="7.7902696249129433E-3"/>
    <x v="1"/>
    <n v="3.9730375087056874E-5"/>
    <n v="-5.1000000000000004E-3"/>
    <x v="1"/>
    <x v="3"/>
  </r>
  <r>
    <x v="108"/>
    <x v="107"/>
    <s v="$0.3211"/>
    <n v="3.0999999999999999E-3"/>
    <x v="53"/>
    <n v="-3.0999999999999999E-3"/>
    <n v="3.0999999999999999E-3"/>
    <s v="$11.95M"/>
    <s v="$654,812"/>
    <n v="654812"/>
    <s v="37.22M"/>
    <s v="Yes"/>
    <n v="0.3211"/>
    <n v="0.32010766623467246"/>
    <x v="1"/>
    <n v="9.9233376532753548E-4"/>
    <n v="-3.0999999999999999E-3"/>
    <x v="1"/>
    <x v="2"/>
  </r>
  <r>
    <x v="109"/>
    <x v="108"/>
    <s v="$146.92"/>
    <n v="1.6000000000000001E-3"/>
    <x v="82"/>
    <n v="-1.6000000000000001E-3"/>
    <n v="1.6000000000000001E-3"/>
    <s v="$11.75M"/>
    <s v="$525,209"/>
    <n v="525209"/>
    <s v="80K"/>
    <s v="Yes"/>
    <n v="146.91999999999999"/>
    <n v="146.68530351437698"/>
    <x v="0"/>
    <n v="0.23469648562300449"/>
    <n v="-1.6000000000000001E-3"/>
    <x v="0"/>
    <x v="0"/>
  </r>
  <r>
    <x v="110"/>
    <x v="109"/>
    <s v="$0.0001392"/>
    <n v="2.5000000000000001E-3"/>
    <x v="64"/>
    <n v="-2.5000000000000001E-3"/>
    <n v="2.5000000000000001E-3"/>
    <s v="$9.28M"/>
    <s v="$202,163"/>
    <n v="202163"/>
    <s v="66.64B"/>
    <s v="No"/>
    <n v="1.392E-4"/>
    <n v="1.3885286783042394E-4"/>
    <x v="1"/>
    <n v="3.4713216957605328E-7"/>
    <n v="-2.5000000000000001E-3"/>
    <x v="1"/>
    <x v="0"/>
  </r>
  <r>
    <x v="111"/>
    <x v="110"/>
    <s v="$0.7374"/>
    <n v="6.8999999999999999E-3"/>
    <x v="58"/>
    <n v="-6.8999999999999999E-3"/>
    <n v="6.8999999999999999E-3"/>
    <s v="$72.68M"/>
    <s v="$522,812"/>
    <n v="522812"/>
    <s v="98.55M"/>
    <s v="Yes"/>
    <n v="0.73740000000000006"/>
    <n v="0.73234680703148292"/>
    <x v="1"/>
    <n v="5.0531929685171395E-3"/>
    <n v="-6.8999999999999999E-3"/>
    <x v="1"/>
    <x v="1"/>
  </r>
  <r>
    <x v="112"/>
    <x v="111"/>
    <s v="$0.001881"/>
    <n v="1.1999999999999999E-3"/>
    <x v="83"/>
    <n v="-1.1999999999999999E-3"/>
    <n v="1.1999999999999999E-3"/>
    <s v="$9.17M"/>
    <s v="$7,687,892"/>
    <n v="7687892"/>
    <s v="4.87B"/>
    <s v="No"/>
    <n v="1.8810000000000001E-3"/>
    <n v="1.8787455053935276E-3"/>
    <x v="1"/>
    <n v="2.25449460647246E-6"/>
    <n v="-1.1999999999999999E-3"/>
    <x v="1"/>
    <x v="0"/>
  </r>
  <r>
    <x v="113"/>
    <x v="112"/>
    <s v="$0.009059"/>
    <n v="8.8000000000000005E-3"/>
    <x v="84"/>
    <n v="-8.8000000000000005E-3"/>
    <n v="8.8000000000000005E-3"/>
    <s v="$9.26M"/>
    <s v="$75,137"/>
    <n v="75137"/>
    <s v="1.02B"/>
    <s v="No"/>
    <n v="9.0589999999999993E-3"/>
    <n v="8.9799762093576534E-3"/>
    <x v="1"/>
    <n v="7.9023790642345978E-5"/>
    <n v="-8.8000000000000005E-3"/>
    <x v="1"/>
    <x v="0"/>
  </r>
  <r>
    <x v="114"/>
    <x v="113"/>
    <s v="$0.001286"/>
    <n v="0"/>
    <x v="25"/>
    <n v="0"/>
    <n v="0"/>
    <s v="$1.24M"/>
    <s v="$395,470"/>
    <n v="395470"/>
    <s v="960.55M"/>
    <s v="Yes"/>
    <n v="1.286E-3"/>
    <n v="1.286E-3"/>
    <x v="1"/>
    <n v="0"/>
    <n v="0"/>
    <x v="1"/>
    <x v="3"/>
  </r>
  <r>
    <x v="115"/>
    <x v="114"/>
    <s v="$0.009081"/>
    <n v="1.26E-2"/>
    <x v="65"/>
    <n v="-1.26E-2"/>
    <n v="1.26E-2"/>
    <s v="$9.08M"/>
    <s v="$8,504,736"/>
    <n v="8504736"/>
    <s v="999.93M"/>
    <s v="No"/>
    <n v="9.0810000000000005E-3"/>
    <n v="8.9680031601817121E-3"/>
    <x v="1"/>
    <n v="1.1299683981828845E-4"/>
    <n v="-1.26E-2"/>
    <x v="1"/>
    <x v="0"/>
  </r>
  <r>
    <x v="116"/>
    <x v="115"/>
    <s v="$0.01413"/>
    <n v="4.4999999999999997E-3"/>
    <x v="20"/>
    <n v="-4.4999999999999997E-3"/>
    <n v="4.4999999999999997E-3"/>
    <s v="$9.08M"/>
    <s v="$351,905"/>
    <n v="351905"/>
    <s v="642.49M"/>
    <s v="Yes"/>
    <n v="1.413E-2"/>
    <n v="1.4066699850671978E-2"/>
    <x v="1"/>
    <n v="6.3300149328022678E-5"/>
    <n v="-4.4999999999999997E-3"/>
    <x v="1"/>
    <x v="3"/>
  </r>
  <r>
    <x v="117"/>
    <x v="116"/>
    <s v="$0.071993"/>
    <n v="2.9999999999999997E-4"/>
    <x v="4"/>
    <n v="-2.9999999999999997E-4"/>
    <n v="2.9999999999999997E-4"/>
    <s v="$15.35M"/>
    <s v="$326,498"/>
    <n v="326498"/>
    <s v="769.86T"/>
    <s v="Yes"/>
    <n v="7.1993000000000001E-2"/>
    <n v="7.1971408577426774E-2"/>
    <x v="1"/>
    <n v="2.159142257322777E-5"/>
    <n v="-2.9999999999999997E-4"/>
    <x v="1"/>
    <x v="2"/>
  </r>
  <r>
    <x v="118"/>
    <x v="117"/>
    <s v="$0.01661"/>
    <n v="2.18E-2"/>
    <x v="85"/>
    <n v="-2.18E-2"/>
    <n v="2.18E-2"/>
    <s v="$9.07M"/>
    <s v="$1,959,456"/>
    <n v="1959456"/>
    <s v="545.96M"/>
    <s v="No"/>
    <n v="1.661E-2"/>
    <n v="1.6255627324329613E-2"/>
    <x v="1"/>
    <n v="3.5437267567038633E-4"/>
    <n v="-2.18E-2"/>
    <x v="1"/>
    <x v="0"/>
  </r>
  <r>
    <x v="119"/>
    <x v="118"/>
    <s v="$0.092256"/>
    <n v="1.4200000000000001E-2"/>
    <x v="86"/>
    <n v="-1.4200000000000001E-2"/>
    <n v="1.4200000000000001E-2"/>
    <s v="$9.07M"/>
    <s v="$196,385"/>
    <n v="196385"/>
    <s v="40.19P"/>
    <s v="No"/>
    <n v="9.2256000000000005E-2"/>
    <n v="9.0964306842831799E-2"/>
    <x v="1"/>
    <n v="1.2916931571682055E-3"/>
    <n v="-1.4200000000000001E-2"/>
    <x v="1"/>
    <x v="0"/>
  </r>
  <r>
    <x v="120"/>
    <x v="119"/>
    <s v="$1.69"/>
    <n v="4.4999999999999997E-3"/>
    <x v="20"/>
    <n v="-4.4999999999999997E-3"/>
    <n v="4.4999999999999997E-3"/>
    <s v="$7.04M"/>
    <s v="N/A"/>
    <n v="0"/>
    <s v="4.14M"/>
    <s v="No"/>
    <n v="1.69"/>
    <n v="1.6824290691886512"/>
    <x v="1"/>
    <n v="7.5709308113487417E-3"/>
    <n v="-4.4999999999999997E-3"/>
    <x v="1"/>
    <x v="0"/>
  </r>
  <r>
    <x v="121"/>
    <x v="120"/>
    <s v="$0.03494"/>
    <n v="1.09E-2"/>
    <x v="34"/>
    <n v="-1.09E-2"/>
    <n v="1.09E-2"/>
    <s v="$7.04M"/>
    <s v="$3,410,421"/>
    <n v="3410421"/>
    <s v="201.31M"/>
    <s v="No"/>
    <n v="3.4939999999999999E-2"/>
    <n v="3.4563260460975367E-2"/>
    <x v="1"/>
    <n v="3.7673953902463142E-4"/>
    <n v="-1.09E-2"/>
    <x v="1"/>
    <x v="0"/>
  </r>
  <r>
    <x v="122"/>
    <x v="121"/>
    <s v="$0.002527"/>
    <n v="5.8999999999999999E-3"/>
    <x v="87"/>
    <n v="-5.8999999999999999E-3"/>
    <n v="5.8999999999999999E-3"/>
    <s v="$2.53M"/>
    <s v="$274,603"/>
    <n v="274603"/>
    <s v="1B"/>
    <s v="Yes"/>
    <n v="2.5270000000000002E-3"/>
    <n v="2.5121781489213643E-3"/>
    <x v="1"/>
    <n v="1.4821851078635883E-5"/>
    <n v="-5.8999999999999999E-3"/>
    <x v="1"/>
    <x v="3"/>
  </r>
  <r>
    <x v="123"/>
    <x v="122"/>
    <s v="$0.01839"/>
    <n v="5.3E-3"/>
    <x v="44"/>
    <n v="-5.3E-3"/>
    <n v="5.3E-3"/>
    <s v="$7.02M"/>
    <s v="$166,190"/>
    <n v="166190"/>
    <s v="381.85M"/>
    <s v="No"/>
    <n v="1.839E-2"/>
    <n v="1.8293046851686062E-2"/>
    <x v="1"/>
    <n v="9.6953148313937837E-5"/>
    <n v="-5.3E-3"/>
    <x v="1"/>
    <x v="0"/>
  </r>
  <r>
    <x v="124"/>
    <x v="123"/>
    <s v="$0.002523"/>
    <n v="1.24E-2"/>
    <x v="88"/>
    <n v="-1.24E-2"/>
    <n v="1.24E-2"/>
    <s v="$19.76M"/>
    <s v="$268,389"/>
    <n v="268389"/>
    <s v="7.82B"/>
    <s v="Yes"/>
    <n v="2.5230000000000001E-3"/>
    <n v="2.4920979849861716E-3"/>
    <x v="1"/>
    <n v="3.0902015013828475E-5"/>
    <n v="-1.24E-2"/>
    <x v="1"/>
    <x v="3"/>
  </r>
  <r>
    <x v="125"/>
    <x v="124"/>
    <s v="$0.007788"/>
    <n v="1.4200000000000001E-2"/>
    <x v="86"/>
    <n v="-1.4200000000000001E-2"/>
    <n v="1.4200000000000001E-2"/>
    <s v="$7.03M"/>
    <s v="$2,191,863"/>
    <n v="2191863"/>
    <s v="902.46M"/>
    <s v="No"/>
    <n v="7.7879999999999998E-3"/>
    <n v="7.678958785249458E-3"/>
    <x v="1"/>
    <n v="1.0904121475054183E-4"/>
    <n v="-1.4200000000000001E-2"/>
    <x v="1"/>
    <x v="0"/>
  </r>
  <r>
    <x v="126"/>
    <x v="125"/>
    <s v="$0.01508"/>
    <n v="7.0000000000000001E-3"/>
    <x v="89"/>
    <n v="-7.0000000000000001E-3"/>
    <n v="7.0000000000000001E-3"/>
    <s v="$6.99M"/>
    <s v="$495,661"/>
    <n v="495661"/>
    <s v="463.58M"/>
    <s v="No"/>
    <n v="1.508E-2"/>
    <n v="1.4975173783515393E-2"/>
    <x v="1"/>
    <n v="1.0482621648460685E-4"/>
    <n v="-7.0000000000000001E-3"/>
    <x v="1"/>
    <x v="0"/>
  </r>
  <r>
    <x v="127"/>
    <x v="126"/>
    <s v="$0.02534"/>
    <n v="0"/>
    <x v="25"/>
    <n v="0"/>
    <n v="0"/>
    <s v="$6.96M"/>
    <s v="N/A"/>
    <n v="0"/>
    <s v="274.53M"/>
    <s v="No"/>
    <n v="2.5340000000000001E-2"/>
    <n v="2.5340000000000001E-2"/>
    <x v="1"/>
    <n v="0"/>
    <n v="0"/>
    <x v="1"/>
    <x v="0"/>
  </r>
  <r>
    <x v="128"/>
    <x v="127"/>
    <s v="$0.3309"/>
    <n v="1.5E-3"/>
    <x v="59"/>
    <n v="-1.5E-3"/>
    <n v="1.5E-3"/>
    <s v="$6.95M"/>
    <s v="$721,629"/>
    <n v="721629"/>
    <s v="21M"/>
    <s v="No"/>
    <n v="0.33090000000000003"/>
    <n v="0.3304043934098852"/>
    <x v="1"/>
    <n v="4.9560659011482766E-4"/>
    <n v="-1.5E-3"/>
    <x v="1"/>
    <x v="0"/>
  </r>
  <r>
    <x v="129"/>
    <x v="128"/>
    <s v="$0.074697"/>
    <n v="1.1000000000000001E-3"/>
    <x v="49"/>
    <n v="-1.1000000000000001E-3"/>
    <n v="1.1000000000000001E-3"/>
    <s v="$3.2M"/>
    <s v="$239,395"/>
    <n v="239395"/>
    <s v="68.07T"/>
    <s v="Yes"/>
    <n v="7.4697E-2"/>
    <n v="7.4614923584057524E-2"/>
    <x v="1"/>
    <n v="8.2076415942475278E-5"/>
    <n v="-1.1000000000000001E-3"/>
    <x v="1"/>
    <x v="2"/>
  </r>
  <r>
    <x v="130"/>
    <x v="129"/>
    <s v="$0.005521"/>
    <n v="1.26E-2"/>
    <x v="65"/>
    <n v="-1.26E-2"/>
    <n v="1.26E-2"/>
    <s v="$5.25M"/>
    <s v="$973,654"/>
    <n v="973654"/>
    <s v="950M"/>
    <s v="No"/>
    <n v="5.5209999999999999E-3"/>
    <n v="5.4523010073079204E-3"/>
    <x v="1"/>
    <n v="6.8698992692079429E-5"/>
    <n v="-1.26E-2"/>
    <x v="1"/>
    <x v="0"/>
  </r>
  <r>
    <x v="131"/>
    <x v="130"/>
    <s v="$0.009401"/>
    <n v="1.7999999999999999E-2"/>
    <x v="90"/>
    <n v="-1.7999999999999999E-2"/>
    <n v="1.7999999999999999E-2"/>
    <s v="$9.12M"/>
    <s v="$232,710"/>
    <n v="232710"/>
    <s v="970M"/>
    <s v="Yes"/>
    <n v="9.4009999999999996E-3"/>
    <n v="9.2347740667976415E-3"/>
    <x v="1"/>
    <n v="1.6622593320235815E-4"/>
    <n v="-1.7999999999999999E-2"/>
    <x v="1"/>
    <x v="3"/>
  </r>
  <r>
    <x v="132"/>
    <x v="131"/>
    <s v="$0.005448"/>
    <n v="0"/>
    <x v="25"/>
    <n v="0"/>
    <n v="0"/>
    <s v="$5.18M"/>
    <s v="$1,056,108"/>
    <n v="1056108"/>
    <s v="950.27M"/>
    <s v="No"/>
    <n v="5.4479999999999997E-3"/>
    <n v="5.4479999999999997E-3"/>
    <x v="1"/>
    <n v="0"/>
    <n v="0"/>
    <x v="1"/>
    <x v="0"/>
  </r>
  <r>
    <x v="133"/>
    <x v="132"/>
    <s v="$0.0002248"/>
    <n v="1.5E-3"/>
    <x v="59"/>
    <n v="-1.5E-3"/>
    <n v="1.5E-3"/>
    <s v="$4.1M"/>
    <s v="$193,524"/>
    <n v="193524"/>
    <s v="18.21B"/>
    <s v="Yes"/>
    <n v="2.2479999999999999E-4"/>
    <n v="2.2446330504243632E-4"/>
    <x v="1"/>
    <n v="3.3669495756366899E-7"/>
    <n v="-1.5E-3"/>
    <x v="1"/>
    <x v="3"/>
  </r>
  <r>
    <x v="134"/>
    <x v="133"/>
    <s v="$0.053611"/>
    <n v="2.0000000000000001E-4"/>
    <x v="43"/>
    <n v="-2.0000000000000001E-4"/>
    <n v="2.0000000000000001E-4"/>
    <s v="$15.6M"/>
    <s v="$191,600"/>
    <n v="191600"/>
    <s v="4.31T"/>
    <s v="Yes"/>
    <n v="5.3610999999999999E-2"/>
    <n v="5.3600279944011196E-2"/>
    <x v="1"/>
    <n v="1.0720055988802657E-5"/>
    <n v="-2.0000000000000001E-4"/>
    <x v="1"/>
    <x v="2"/>
  </r>
  <r>
    <x v="135"/>
    <x v="134"/>
    <s v="$0.001011"/>
    <n v="2E-3"/>
    <x v="91"/>
    <n v="-2E-3"/>
    <n v="2E-3"/>
    <s v="$5.15M"/>
    <s v="$432,080"/>
    <n v="432080"/>
    <s v="5.09B"/>
    <s v="No"/>
    <n v="1.011E-3"/>
    <n v="1.0089820359281438E-3"/>
    <x v="1"/>
    <n v="2.0179640718561917E-6"/>
    <n v="-2E-3"/>
    <x v="1"/>
    <x v="0"/>
  </r>
  <r>
    <x v="136"/>
    <x v="135"/>
    <s v="$0.004794"/>
    <n v="2.5000000000000001E-3"/>
    <x v="64"/>
    <n v="-2.5000000000000001E-3"/>
    <n v="2.5000000000000001E-3"/>
    <s v="$7.03M"/>
    <s v="$191,443"/>
    <n v="191443"/>
    <s v="1.46B"/>
    <s v="Yes"/>
    <n v="4.7939999999999997E-3"/>
    <n v="4.7820448877805488E-3"/>
    <x v="1"/>
    <n v="1.1955112219450871E-5"/>
    <n v="-2.5000000000000001E-3"/>
    <x v="1"/>
    <x v="3"/>
  </r>
  <r>
    <x v="137"/>
    <x v="136"/>
    <s v="$0.04844"/>
    <n v="1.1000000000000001E-3"/>
    <x v="49"/>
    <n v="-1.1000000000000001E-3"/>
    <n v="1.1000000000000001E-3"/>
    <s v="$2.56M"/>
    <s v="$174,927"/>
    <n v="174927"/>
    <s v="52.85M"/>
    <s v="Yes"/>
    <n v="4.8439999999999997E-2"/>
    <n v="4.8386774547997197E-2"/>
    <x v="1"/>
    <n v="5.3225452002800266E-5"/>
    <n v="-1.1000000000000001E-3"/>
    <x v="1"/>
    <x v="3"/>
  </r>
  <r>
    <x v="138"/>
    <x v="137"/>
    <s v="$0.001885"/>
    <n v="1E-4"/>
    <x v="19"/>
    <n v="-1E-4"/>
    <n v="1E-4"/>
    <s v="$5.14M"/>
    <s v="$392,111"/>
    <n v="392111"/>
    <s v="2.72B"/>
    <s v="No"/>
    <n v="1.885E-3"/>
    <n v="1.8848115188481152E-3"/>
    <x v="1"/>
    <n v="1.8848115188475206E-7"/>
    <n v="-1E-4"/>
    <x v="1"/>
    <x v="0"/>
  </r>
  <r>
    <x v="139"/>
    <x v="138"/>
    <s v="$0.00002837"/>
    <n v="3.7000000000000002E-3"/>
    <x v="92"/>
    <n v="-3.7000000000000002E-3"/>
    <n v="3.7000000000000002E-3"/>
    <s v="$3.23M"/>
    <s v="$157,680"/>
    <n v="157680"/>
    <s v="113.75B"/>
    <s v="Yes"/>
    <n v="2.8370000000000001E-5"/>
    <n v="2.8265417953571784E-5"/>
    <x v="1"/>
    <n v="1.0458204642821678E-7"/>
    <n v="-3.7000000000000002E-3"/>
    <x v="1"/>
    <x v="3"/>
  </r>
  <r>
    <x v="140"/>
    <x v="139"/>
    <s v="$0.01060"/>
    <n v="1.61E-2"/>
    <x v="30"/>
    <n v="-1.61E-2"/>
    <n v="1.61E-2"/>
    <s v="$3.21M"/>
    <s v="$155,287"/>
    <n v="155287"/>
    <s v="302.73M"/>
    <s v="Yes"/>
    <n v="1.06E-2"/>
    <n v="1.0432044090148607E-2"/>
    <x v="1"/>
    <n v="1.6795590985139303E-4"/>
    <n v="-1.61E-2"/>
    <x v="1"/>
    <x v="3"/>
  </r>
  <r>
    <x v="141"/>
    <x v="140"/>
    <s v="$0.051470"/>
    <n v="4.6399999999999997E-2"/>
    <x v="93"/>
    <n v="-4.6399999999999997E-2"/>
    <n v="4.6399999999999997E-2"/>
    <s v="$4.06M"/>
    <s v="$168,650"/>
    <n v="168650"/>
    <s v="2.75T"/>
    <s v="No"/>
    <n v="5.1470000000000002E-2"/>
    <n v="4.918769113149847E-2"/>
    <x v="1"/>
    <n v="2.2823088685015314E-3"/>
    <n v="-4.6399999999999997E-2"/>
    <x v="1"/>
    <x v="0"/>
  </r>
  <r>
    <x v="142"/>
    <x v="141"/>
    <s v="$0.01908"/>
    <n v="5.7000000000000002E-3"/>
    <x v="68"/>
    <n v="-5.7000000000000002E-3"/>
    <n v="5.7000000000000002E-3"/>
    <s v="$4.04M"/>
    <s v="$4,760,489"/>
    <n v="4760489"/>
    <s v="211.7M"/>
    <s v="No"/>
    <n v="1.908E-2"/>
    <n v="1.8971860395744257E-2"/>
    <x v="1"/>
    <n v="1.0813960425574282E-4"/>
    <n v="-5.7000000000000002E-3"/>
    <x v="1"/>
    <x v="0"/>
  </r>
  <r>
    <x v="143"/>
    <x v="142"/>
    <s v="$0.01953"/>
    <n v="2.9999999999999997E-4"/>
    <x v="4"/>
    <n v="-2.9999999999999997E-4"/>
    <n v="2.9999999999999997E-4"/>
    <s v="$4.02M"/>
    <s v="$4,951,893"/>
    <n v="4951893"/>
    <s v="206.03M"/>
    <s v="No"/>
    <n v="1.9529999999999999E-2"/>
    <n v="1.9524142757172847E-2"/>
    <x v="1"/>
    <n v="5.8572428271522203E-6"/>
    <n v="-2.9999999999999997E-4"/>
    <x v="1"/>
    <x v="0"/>
  </r>
  <r>
    <x v="144"/>
    <x v="143"/>
    <s v="$0.053982"/>
    <n v="1.04E-2"/>
    <x v="69"/>
    <n v="-1.04E-2"/>
    <n v="1.04E-2"/>
    <s v="$3.98M"/>
    <s v="$727,913"/>
    <n v="727913"/>
    <s v="999.97B"/>
    <s v="No"/>
    <n v="5.3982000000000002E-2"/>
    <n v="5.3426365795724469E-2"/>
    <x v="1"/>
    <n v="5.5563420427553328E-4"/>
    <n v="-1.04E-2"/>
    <x v="1"/>
    <x v="0"/>
  </r>
  <r>
    <x v="145"/>
    <x v="144"/>
    <s v="$2.34"/>
    <n v="1.1999999999999999E-3"/>
    <x v="83"/>
    <n v="-1.1999999999999999E-3"/>
    <n v="1.1999999999999999E-3"/>
    <s v="$4M"/>
    <s v="$49,144"/>
    <n v="49144"/>
    <s v="1.7M"/>
    <s v="No"/>
    <n v="2.34"/>
    <n v="2.337195365561326"/>
    <x v="1"/>
    <n v="2.8046344386738475E-3"/>
    <n v="-1.1999999999999999E-3"/>
    <x v="1"/>
    <x v="0"/>
  </r>
  <r>
    <x v="146"/>
    <x v="145"/>
    <s v="$0.02954"/>
    <n v="2.2000000000000001E-3"/>
    <x v="76"/>
    <n v="-2.2000000000000001E-3"/>
    <n v="2.2000000000000001E-3"/>
    <s v="$5.17M"/>
    <s v="$153,889"/>
    <n v="153889"/>
    <s v="174.84M"/>
    <s v="Yes"/>
    <n v="2.954E-2"/>
    <n v="2.9475154659748554E-2"/>
    <x v="1"/>
    <n v="6.4845340251445949E-5"/>
    <n v="-2.2000000000000001E-3"/>
    <x v="1"/>
    <x v="3"/>
  </r>
  <r>
    <x v="147"/>
    <x v="146"/>
    <s v="$0.002286"/>
    <n v="3.5000000000000001E-3"/>
    <x v="94"/>
    <n v="-3.5000000000000001E-3"/>
    <n v="3.5000000000000001E-3"/>
    <s v="$5.16M"/>
    <s v="$130,770"/>
    <n v="130770"/>
    <s v="2.25B"/>
    <s v="Yes"/>
    <n v="2.2859999999999998E-3"/>
    <n v="2.2780269058295961E-3"/>
    <x v="1"/>
    <n v="7.9730941704037744E-6"/>
    <n v="-3.5000000000000001E-3"/>
    <x v="1"/>
    <x v="3"/>
  </r>
  <r>
    <x v="148"/>
    <x v="147"/>
    <s v="$0.08283"/>
    <n v="1.72E-2"/>
    <x v="95"/>
    <n v="-1.72E-2"/>
    <n v="1.72E-2"/>
    <s v="$3.97M"/>
    <s v="$5,822"/>
    <n v="5822"/>
    <s v="47.89M"/>
    <s v="No"/>
    <n v="8.2830000000000001E-2"/>
    <n v="8.1429414077860793E-2"/>
    <x v="1"/>
    <n v="1.4005859221392081E-3"/>
    <n v="-1.72E-2"/>
    <x v="1"/>
    <x v="0"/>
  </r>
  <r>
    <x v="149"/>
    <x v="148"/>
    <s v="$0.5305"/>
    <n v="6.7999999999999996E-3"/>
    <x v="67"/>
    <n v="-6.7999999999999996E-3"/>
    <n v="6.7999999999999996E-3"/>
    <s v="$3.94M"/>
    <s v="$85,411"/>
    <n v="85411"/>
    <s v="7.43M"/>
    <s v="No"/>
    <n v="0.53049999999999997"/>
    <n v="0.52691696464044502"/>
    <x v="1"/>
    <n v="3.5830353595549536E-3"/>
    <n v="-6.7999999999999996E-3"/>
    <x v="1"/>
    <x v="0"/>
  </r>
  <r>
    <x v="150"/>
    <x v="149"/>
    <s v="$0.07514"/>
    <n v="1E-4"/>
    <x v="19"/>
    <n v="-1E-4"/>
    <n v="1E-4"/>
    <s v="$1.58M"/>
    <s v="$119,741"/>
    <n v="119741"/>
    <s v="21M"/>
    <s v="Yes"/>
    <n v="7.5139999999999998E-2"/>
    <n v="7.5132486751324862E-2"/>
    <x v="1"/>
    <n v="7.5132486751366967E-6"/>
    <n v="-1E-4"/>
    <x v="1"/>
    <x v="2"/>
  </r>
  <r>
    <x v="151"/>
    <x v="150"/>
    <s v="$0.01094"/>
    <n v="1.18E-2"/>
    <x v="96"/>
    <n v="-1.18E-2"/>
    <n v="1.18E-2"/>
    <s v="$3.22M"/>
    <s v="$117,948"/>
    <n v="117948"/>
    <s v="294.58M"/>
    <s v="Yes"/>
    <n v="1.094E-2"/>
    <n v="1.0812413520458588E-2"/>
    <x v="1"/>
    <n v="1.275864795414125E-4"/>
    <n v="-1.18E-2"/>
    <x v="1"/>
    <x v="3"/>
  </r>
  <r>
    <x v="152"/>
    <x v="151"/>
    <s v="$0.003410"/>
    <n v="3.0999999999999999E-3"/>
    <x v="53"/>
    <n v="-3.0999999999999999E-3"/>
    <n v="3.0999999999999999E-3"/>
    <s v="$1.58M"/>
    <s v="$115,234"/>
    <n v="115234"/>
    <s v="462.04M"/>
    <s v="Yes"/>
    <n v="3.4099999999999998E-3"/>
    <n v="3.3994616688266368E-3"/>
    <x v="1"/>
    <n v="1.0538331173363079E-5"/>
    <n v="-3.0999999999999999E-3"/>
    <x v="1"/>
    <x v="3"/>
  </r>
  <r>
    <x v="153"/>
    <x v="152"/>
    <s v="$0.007828"/>
    <n v="0.18790000000000001"/>
    <x v="97"/>
    <n v="-0.18790000000000001"/>
    <n v="0.18790000000000001"/>
    <s v="$1.6M"/>
    <s v="$106,039"/>
    <n v="106039"/>
    <s v="203.92M"/>
    <s v="Yes"/>
    <n v="7.8279999999999999E-3"/>
    <n v="6.5897802845357352E-3"/>
    <x v="1"/>
    <n v="1.2382197154642647E-3"/>
    <n v="-0.18790000000000001"/>
    <x v="1"/>
    <x v="3"/>
  </r>
  <r>
    <x v="154"/>
    <x v="153"/>
    <s v="$0.04980"/>
    <n v="6.1999999999999998E-3"/>
    <x v="98"/>
    <n v="-6.1999999999999998E-3"/>
    <n v="6.1999999999999998E-3"/>
    <s v="$5.11M"/>
    <s v="$75,107"/>
    <n v="75107"/>
    <s v="102.56M"/>
    <s v="Yes"/>
    <n v="4.9799999999999997E-2"/>
    <n v="4.9493142516398331E-2"/>
    <x v="1"/>
    <n v="3.0685748360166631E-4"/>
    <n v="-6.1999999999999998E-3"/>
    <x v="1"/>
    <x v="3"/>
  </r>
  <r>
    <x v="155"/>
    <x v="154"/>
    <s v="$0.0008030"/>
    <n v="2.0000000000000001E-4"/>
    <x v="43"/>
    <n v="-2.0000000000000001E-4"/>
    <n v="2.0000000000000001E-4"/>
    <s v="$3.23M"/>
    <s v="$72,433"/>
    <n v="72433"/>
    <s v="4.02B"/>
    <s v="Yes"/>
    <n v="8.03E-4"/>
    <n v="8.028394321135773E-4"/>
    <x v="1"/>
    <n v="1.6056788642269948E-7"/>
    <n v="-2.0000000000000001E-4"/>
    <x v="1"/>
    <x v="3"/>
  </r>
  <r>
    <x v="156"/>
    <x v="155"/>
    <s v="$0.007706"/>
    <n v="8.9999999999999998E-4"/>
    <x v="99"/>
    <n v="-8.9999999999999998E-4"/>
    <n v="8.9999999999999998E-4"/>
    <s v="$3.21M"/>
    <s v="$220,065"/>
    <n v="220065"/>
    <s v="416.64M"/>
    <s v="No"/>
    <n v="7.7060000000000002E-3"/>
    <n v="7.6990708362473783E-3"/>
    <x v="1"/>
    <n v="6.9291637526218419E-6"/>
    <n v="-8.9999999999999998E-4"/>
    <x v="1"/>
    <x v="0"/>
  </r>
  <r>
    <x v="157"/>
    <x v="156"/>
    <s v="$0.02283"/>
    <n v="3.2000000000000002E-3"/>
    <x v="28"/>
    <n v="-3.2000000000000002E-3"/>
    <n v="3.2000000000000002E-3"/>
    <s v="$2.52M"/>
    <s v="$69,191"/>
    <n v="69191"/>
    <s v="110.37M"/>
    <s v="Yes"/>
    <n v="2.283E-2"/>
    <n v="2.275717703349282E-2"/>
    <x v="1"/>
    <n v="7.2822966507180009E-5"/>
    <n v="-3.2000000000000002E-3"/>
    <x v="1"/>
    <x v="3"/>
  </r>
  <r>
    <x v="158"/>
    <x v="157"/>
    <s v="$0.03672"/>
    <n v="4.0000000000000001E-3"/>
    <x v="72"/>
    <n v="-4.0000000000000001E-3"/>
    <n v="4.0000000000000001E-3"/>
    <s v="$7.03M"/>
    <s v="$43,739"/>
    <n v="43739"/>
    <s v="191.31M"/>
    <s v="Yes"/>
    <n v="3.6720000000000003E-2"/>
    <n v="3.6573705179282871E-2"/>
    <x v="1"/>
    <n v="1.4629482071713135E-4"/>
    <n v="-4.0000000000000001E-3"/>
    <x v="1"/>
    <x v="3"/>
  </r>
  <r>
    <x v="159"/>
    <x v="158"/>
    <s v="$0.006908"/>
    <n v="1.1999999999999999E-3"/>
    <x v="83"/>
    <n v="-1.1999999999999999E-3"/>
    <n v="1.1999999999999999E-3"/>
    <s v="$3.18M"/>
    <s v="$977,333"/>
    <n v="977333"/>
    <s v="460.37M"/>
    <s v="No"/>
    <n v="6.9080000000000001E-3"/>
    <n v="6.8997203355972824E-3"/>
    <x v="1"/>
    <n v="8.2796644027176639E-6"/>
    <n v="-1.1999999999999999E-3"/>
    <x v="1"/>
    <x v="0"/>
  </r>
  <r>
    <x v="160"/>
    <x v="159"/>
    <s v="$0.02632"/>
    <n v="2.6700000000000002E-2"/>
    <x v="100"/>
    <n v="-2.6700000000000002E-2"/>
    <n v="2.6700000000000002E-2"/>
    <s v="$2.58M"/>
    <s v="$721,481"/>
    <n v="721481"/>
    <s v="98M"/>
    <s v="No"/>
    <n v="2.632E-2"/>
    <n v="2.563553131391838E-2"/>
    <x v="1"/>
    <n v="6.8446868608161918E-4"/>
    <n v="-2.6700000000000002E-2"/>
    <x v="1"/>
    <x v="0"/>
  </r>
  <r>
    <x v="161"/>
    <x v="160"/>
    <s v="$0.0004232"/>
    <n v="9.7000000000000003E-3"/>
    <x v="101"/>
    <n v="-9.7000000000000003E-3"/>
    <n v="9.7000000000000003E-3"/>
    <s v="$2.58M"/>
    <s v="$1,422,530"/>
    <n v="1422530"/>
    <s v="6.08B"/>
    <s v="No"/>
    <n v="4.2319999999999999E-4"/>
    <n v="4.1913439635535304E-4"/>
    <x v="1"/>
    <n v="4.0656036446469457E-6"/>
    <n v="-9.7000000000000003E-3"/>
    <x v="1"/>
    <x v="0"/>
  </r>
  <r>
    <x v="162"/>
    <x v="161"/>
    <s v="$0.086727"/>
    <n v="0"/>
    <x v="25"/>
    <n v="0"/>
    <n v="0"/>
    <s v="$2.57M"/>
    <s v="N/A"/>
    <n v="0"/>
    <s v="382.55T"/>
    <s v="No"/>
    <n v="8.6726999999999999E-2"/>
    <n v="8.6726999999999999E-2"/>
    <x v="1"/>
    <n v="0"/>
    <n v="0"/>
    <x v="1"/>
    <x v="0"/>
  </r>
  <r>
    <x v="163"/>
    <x v="162"/>
    <s v="$0.002296"/>
    <n v="1E-3"/>
    <x v="6"/>
    <n v="-1E-3"/>
    <n v="1E-3"/>
    <s v="$2.57M"/>
    <s v="$107,281"/>
    <n v="107281"/>
    <s v="1.11B"/>
    <s v="No"/>
    <n v="2.2959999999999999E-3"/>
    <n v="2.2937062937062936E-3"/>
    <x v="1"/>
    <n v="2.2937062937062463E-6"/>
    <n v="-1E-3"/>
    <x v="1"/>
    <x v="0"/>
  </r>
  <r>
    <x v="164"/>
    <x v="163"/>
    <s v="$0.056380"/>
    <n v="2.4799999999999999E-2"/>
    <x v="102"/>
    <n v="-2.4799999999999999E-2"/>
    <n v="2.4799999999999999E-2"/>
    <s v="$2.51M"/>
    <s v="$465"/>
    <n v="465"/>
    <s v="393.4B"/>
    <s v="No"/>
    <n v="5.638E-2"/>
    <n v="5.5015612802498053E-2"/>
    <x v="1"/>
    <n v="1.364387197501947E-3"/>
    <n v="-2.4799999999999999E-2"/>
    <x v="1"/>
    <x v="0"/>
  </r>
  <r>
    <x v="165"/>
    <x v="164"/>
    <s v="$0.002602"/>
    <n v="8.0000000000000002E-3"/>
    <x v="103"/>
    <n v="-8.0000000000000002E-3"/>
    <n v="8.0000000000000002E-3"/>
    <s v="$2.52M"/>
    <s v="$34,103"/>
    <n v="34103"/>
    <s v="967.15M"/>
    <s v="Yes"/>
    <n v="2.6020000000000001E-3"/>
    <n v="2.5813492063492065E-3"/>
    <x v="1"/>
    <n v="2.0650793650793618E-5"/>
    <n v="-8.0000000000000002E-3"/>
    <x v="1"/>
    <x v="3"/>
  </r>
  <r>
    <x v="166"/>
    <x v="165"/>
    <s v="$90.45"/>
    <n v="2.8199999999999999E-2"/>
    <x v="104"/>
    <n v="-2.8199999999999999E-2"/>
    <n v="2.8199999999999999E-2"/>
    <s v="$50.56M"/>
    <s v="$21,125"/>
    <n v="21125"/>
    <s v="558.98K"/>
    <s v="Yes"/>
    <n v="90.45"/>
    <n v="87.969266679634316"/>
    <x v="0"/>
    <n v="2.4807333203656867"/>
    <n v="-2.8199999999999999E-2"/>
    <x v="0"/>
    <x v="0"/>
  </r>
  <r>
    <x v="167"/>
    <x v="166"/>
    <s v="$0.005187"/>
    <n v="3.7000000000000002E-3"/>
    <x v="92"/>
    <n v="-3.7000000000000002E-3"/>
    <n v="3.7000000000000002E-3"/>
    <s v="$5.14M"/>
    <s v="$17,403"/>
    <n v="17403"/>
    <s v="991.83M"/>
    <s v="Yes"/>
    <n v="5.1869999999999998E-3"/>
    <n v="5.1678788482614323E-3"/>
    <x v="1"/>
    <n v="1.9121151738567439E-5"/>
    <n v="-3.7000000000000002E-3"/>
    <x v="1"/>
    <x v="3"/>
  </r>
  <r>
    <x v="168"/>
    <x v="167"/>
    <s v="$0.03321"/>
    <n v="8.9999999999999993E-3"/>
    <x v="105"/>
    <n v="-8.9999999999999993E-3"/>
    <n v="8.9999999999999993E-3"/>
    <s v="$3.99M"/>
    <s v="$14,376"/>
    <n v="14376"/>
    <s v="120M"/>
    <s v="Yes"/>
    <n v="3.3210000000000003E-2"/>
    <n v="3.2913776015857293E-2"/>
    <x v="1"/>
    <n v="2.9622398414271001E-4"/>
    <n v="-8.9999999999999993E-3"/>
    <x v="1"/>
    <x v="3"/>
  </r>
  <r>
    <x v="169"/>
    <x v="168"/>
    <s v="$0.004085"/>
    <n v="2E-3"/>
    <x v="91"/>
    <n v="-2E-3"/>
    <n v="2E-3"/>
    <s v="$1.24M"/>
    <s v="$11,736"/>
    <n v="11736"/>
    <s v="303.13M"/>
    <s v="Yes"/>
    <n v="4.0850000000000001E-3"/>
    <n v="4.0768463073852295E-3"/>
    <x v="1"/>
    <n v="8.153692614770551E-6"/>
    <n v="-2E-3"/>
    <x v="1"/>
    <x v="3"/>
  </r>
  <r>
    <x v="170"/>
    <x v="169"/>
    <s v="$0.01772"/>
    <n v="8.0999999999999996E-3"/>
    <x v="106"/>
    <n v="-8.0999999999999996E-3"/>
    <n v="8.0999999999999996E-3"/>
    <s v="$2M"/>
    <s v="$1,983,713"/>
    <n v="1983713"/>
    <s v="112.88M"/>
    <s v="No"/>
    <n v="1.772E-2"/>
    <n v="1.7577621267731377E-2"/>
    <x v="1"/>
    <n v="1.4237873226862277E-4"/>
    <n v="-8.0999999999999996E-3"/>
    <x v="1"/>
    <x v="0"/>
  </r>
  <r>
    <x v="171"/>
    <x v="170"/>
    <s v="$0.002003"/>
    <n v="1.5800000000000002E-2"/>
    <x v="54"/>
    <n v="-1.5800000000000002E-2"/>
    <n v="1.5800000000000002E-2"/>
    <s v="$2M"/>
    <s v="$944,920"/>
    <n v="944920"/>
    <s v="1B"/>
    <s v="No"/>
    <n v="2.003E-3"/>
    <n v="1.9718448513486907E-3"/>
    <x v="1"/>
    <n v="3.1155148651309302E-5"/>
    <n v="-1.5800000000000002E-2"/>
    <x v="1"/>
    <x v="0"/>
  </r>
  <r>
    <x v="172"/>
    <x v="171"/>
    <s v="$0.7384"/>
    <n v="8.9999999999999998E-4"/>
    <x v="99"/>
    <n v="-8.9999999999999998E-4"/>
    <n v="8.9999999999999998E-4"/>
    <s v="$1.99M"/>
    <s v="N/A"/>
    <n v="0"/>
    <s v="2.7M"/>
    <s v="No"/>
    <n v="0.73839999999999995"/>
    <n v="0.73773603756619044"/>
    <x v="1"/>
    <n v="6.6396243380950626E-4"/>
    <n v="-8.9999999999999998E-4"/>
    <x v="1"/>
    <x v="0"/>
  </r>
  <r>
    <x v="173"/>
    <x v="172"/>
    <s v="$0.002032"/>
    <n v="1.5599999999999999E-2"/>
    <x v="107"/>
    <n v="-1.5599999999999999E-2"/>
    <n v="1.5599999999999999E-2"/>
    <s v="$1.99M"/>
    <s v="$25,840"/>
    <n v="25840"/>
    <s v="978.95M"/>
    <s v="No"/>
    <n v="2.032E-3"/>
    <n v="2.0007877116975186E-3"/>
    <x v="1"/>
    <n v="3.1212288302481361E-5"/>
    <n v="-1.5599999999999999E-2"/>
    <x v="1"/>
    <x v="0"/>
  </r>
  <r>
    <x v="174"/>
    <x v="173"/>
    <s v="$0.004565"/>
    <n v="1E-3"/>
    <x v="6"/>
    <n v="-1E-3"/>
    <n v="1E-3"/>
    <s v="$1.99M"/>
    <s v="$290,910"/>
    <n v="290910"/>
    <s v="436.07M"/>
    <s v="No"/>
    <n v="4.5649999999999996E-3"/>
    <n v="4.5604395604395605E-3"/>
    <x v="1"/>
    <n v="4.5604395604390696E-6"/>
    <n v="-1E-3"/>
    <x v="1"/>
    <x v="0"/>
  </r>
  <r>
    <x v="175"/>
    <x v="174"/>
    <s v="$0.03101"/>
    <n v="1.21E-2"/>
    <x v="108"/>
    <n v="-1.21E-2"/>
    <n v="1.21E-2"/>
    <s v="$1.99M"/>
    <s v="$1,872"/>
    <n v="1872"/>
    <s v="63.99M"/>
    <s v="No"/>
    <n v="3.1009999999999999E-2"/>
    <n v="3.0639264894773244E-2"/>
    <x v="1"/>
    <n v="3.707351052267549E-4"/>
    <n v="-1.21E-2"/>
    <x v="1"/>
    <x v="0"/>
  </r>
  <r>
    <x v="176"/>
    <x v="175"/>
    <s v="$0.001507"/>
    <n v="2.9999999999999997E-4"/>
    <x v="4"/>
    <n v="-2.9999999999999997E-4"/>
    <n v="2.9999999999999997E-4"/>
    <s v="$1.98M"/>
    <s v="$117,957"/>
    <n v="117957"/>
    <s v="1.31B"/>
    <s v="No"/>
    <n v="1.5070000000000001E-3"/>
    <n v="1.5065480355893233E-3"/>
    <x v="1"/>
    <n v="4.5196441067680594E-7"/>
    <n v="-2.9999999999999997E-4"/>
    <x v="1"/>
    <x v="0"/>
  </r>
  <r>
    <x v="177"/>
    <x v="176"/>
    <s v="$0.1823"/>
    <n v="1E-4"/>
    <x v="19"/>
    <n v="-1E-4"/>
    <n v="1E-4"/>
    <s v="$11.96M"/>
    <s v="$3,185"/>
    <n v="3185"/>
    <s v="65.6M"/>
    <s v="Yes"/>
    <n v="0.18229999999999999"/>
    <n v="0.18228177182281771"/>
    <x v="1"/>
    <n v="1.8228177182277872E-5"/>
    <n v="-1E-4"/>
    <x v="1"/>
    <x v="2"/>
  </r>
  <r>
    <x v="178"/>
    <x v="177"/>
    <s v="$0.002419"/>
    <n v="9.7000000000000003E-3"/>
    <x v="101"/>
    <n v="-9.7000000000000003E-3"/>
    <n v="9.7000000000000003E-3"/>
    <s v="$1.97M"/>
    <s v="$62,197"/>
    <n v="62197"/>
    <s v="814.34M"/>
    <s v="No"/>
    <n v="2.4190000000000001E-3"/>
    <n v="2.3957611171635139E-3"/>
    <x v="1"/>
    <n v="2.3238882836486285E-5"/>
    <n v="-9.7000000000000003E-3"/>
    <x v="1"/>
    <x v="0"/>
  </r>
  <r>
    <x v="179"/>
    <x v="178"/>
    <s v="$0.003149"/>
    <n v="0"/>
    <x v="25"/>
    <n v="0"/>
    <n v="0"/>
    <s v="$1.97M"/>
    <s v="$109,870"/>
    <n v="109870"/>
    <s v="625.43M"/>
    <s v="No"/>
    <n v="3.1489999999999999E-3"/>
    <n v="3.1489999999999999E-3"/>
    <x v="1"/>
    <n v="0"/>
    <n v="0"/>
    <x v="1"/>
    <x v="0"/>
  </r>
  <r>
    <x v="180"/>
    <x v="179"/>
    <s v="$0.008445"/>
    <n v="2.0000000000000001E-4"/>
    <x v="43"/>
    <n v="-2.0000000000000001E-4"/>
    <n v="2.0000000000000001E-4"/>
    <s v="$3.23M"/>
    <s v="$2,100"/>
    <n v="2100"/>
    <s v="382.95M"/>
    <s v="Yes"/>
    <n v="8.4449999999999994E-3"/>
    <n v="8.4433113377324533E-3"/>
    <x v="1"/>
    <n v="1.6886622675460483E-6"/>
    <n v="-2.0000000000000001E-4"/>
    <x v="1"/>
    <x v="3"/>
  </r>
  <r>
    <x v="181"/>
    <x v="180"/>
    <s v="$0.01286"/>
    <n v="2.0000000000000001E-4"/>
    <x v="43"/>
    <n v="-2.0000000000000001E-4"/>
    <n v="2.0000000000000001E-4"/>
    <s v="$3.23M"/>
    <s v="$1,659"/>
    <n v="1659"/>
    <s v="250.75M"/>
    <s v="Yes"/>
    <n v="1.286E-2"/>
    <n v="1.285742851429714E-2"/>
    <x v="1"/>
    <n v="2.5714857028596994E-6"/>
    <n v="-2.0000000000000001E-4"/>
    <x v="1"/>
    <x v="3"/>
  </r>
  <r>
    <x v="182"/>
    <x v="181"/>
    <s v="$0.009631"/>
    <n v="2.8E-3"/>
    <x v="109"/>
    <n v="-2.8E-3"/>
    <n v="2.8E-3"/>
    <s v="$1.59M"/>
    <s v="$201,257"/>
    <n v="201257"/>
    <s v="165.28M"/>
    <s v="No"/>
    <n v="9.6310000000000007E-3"/>
    <n v="9.6041084962106126E-3"/>
    <x v="1"/>
    <n v="2.6891503789388052E-5"/>
    <n v="-2.8E-3"/>
    <x v="1"/>
    <x v="0"/>
  </r>
  <r>
    <x v="183"/>
    <x v="182"/>
    <s v="$0.1761"/>
    <n v="3.3399999999999999E-2"/>
    <x v="110"/>
    <n v="-3.3399999999999999E-2"/>
    <n v="3.3399999999999999E-2"/>
    <s v="$3.23M"/>
    <s v="$1,614"/>
    <n v="1614"/>
    <s v="18.34M"/>
    <s v="Yes"/>
    <n v="0.17610000000000001"/>
    <n v="0.17040836075091928"/>
    <x v="1"/>
    <n v="5.6916392490807266E-3"/>
    <n v="-3.3399999999999999E-2"/>
    <x v="1"/>
    <x v="2"/>
  </r>
  <r>
    <x v="184"/>
    <x v="183"/>
    <s v="$0.00002164"/>
    <n v="1E-3"/>
    <x v="6"/>
    <n v="-1E-3"/>
    <n v="1E-3"/>
    <s v="$3.98M"/>
    <s v="$658"/>
    <n v="658"/>
    <s v="184.06B"/>
    <s v="Yes"/>
    <n v="2.1639999999999999E-5"/>
    <n v="2.1618381618381622E-5"/>
    <x v="1"/>
    <n v="2.1618381618377681E-8"/>
    <n v="-1E-3"/>
    <x v="1"/>
    <x v="3"/>
  </r>
  <r>
    <x v="185"/>
    <x v="184"/>
    <s v="$0.052624"/>
    <n v="4.0000000000000002E-4"/>
    <x v="2"/>
    <n v="-4.0000000000000002E-4"/>
    <n v="4.0000000000000002E-4"/>
    <s v="$2.53M"/>
    <s v="$287"/>
    <n v="287"/>
    <s v="964.46B"/>
    <s v="Yes"/>
    <n v="5.2623999999999997E-2"/>
    <n v="5.2602958816473408E-2"/>
    <x v="1"/>
    <n v="2.104118352658918E-5"/>
    <n v="-4.0000000000000002E-4"/>
    <x v="1"/>
    <x v="2"/>
  </r>
  <r>
    <x v="186"/>
    <x v="185"/>
    <s v="$0.007633"/>
    <n v="1.0999999999999999E-2"/>
    <x v="111"/>
    <n v="-1.0999999999999999E-2"/>
    <n v="1.0999999999999999E-2"/>
    <s v="$1.58M"/>
    <s v="$43,846"/>
    <n v="43846"/>
    <s v="206.35M"/>
    <s v="No"/>
    <n v="7.633E-3"/>
    <n v="7.5499505440158269E-3"/>
    <x v="1"/>
    <n v="8.3049455984173133E-5"/>
    <n v="-1.0999999999999999E-2"/>
    <x v="1"/>
    <x v="0"/>
  </r>
  <r>
    <x v="187"/>
    <x v="186"/>
    <s v="$0.006391"/>
    <n v="0"/>
    <x v="25"/>
    <n v="0"/>
    <n v="0"/>
    <s v="$1.57M"/>
    <s v="N/A"/>
    <n v="0"/>
    <s v="245.89M"/>
    <s v="No"/>
    <n v="6.391E-3"/>
    <n v="6.391E-3"/>
    <x v="1"/>
    <n v="0"/>
    <n v="0"/>
    <x v="1"/>
    <x v="0"/>
  </r>
  <r>
    <x v="188"/>
    <x v="187"/>
    <s v="$0.02881"/>
    <n v="2.9999999999999997E-4"/>
    <x v="4"/>
    <n v="-2.9999999999999997E-4"/>
    <n v="2.9999999999999997E-4"/>
    <s v="$19.6M"/>
    <s v="$47"/>
    <n v="47"/>
    <s v="680M"/>
    <s v="Yes"/>
    <n v="2.8809999999999999E-2"/>
    <n v="2.8801359592122364E-2"/>
    <x v="1"/>
    <n v="8.6404078776351756E-6"/>
    <n v="-2.9999999999999997E-4"/>
    <x v="1"/>
    <x v="3"/>
  </r>
  <r>
    <x v="189"/>
    <x v="188"/>
    <s v="$0.001565"/>
    <n v="2E-3"/>
    <x v="91"/>
    <n v="-2E-3"/>
    <n v="2E-3"/>
    <s v="$1.57M"/>
    <s v="$606,685"/>
    <n v="606685"/>
    <s v="1B"/>
    <s v="No"/>
    <n v="1.565E-3"/>
    <n v="1.56187624750499E-3"/>
    <x v="1"/>
    <n v="3.123752495009938E-6"/>
    <n v="-2E-3"/>
    <x v="1"/>
    <x v="0"/>
  </r>
  <r>
    <x v="190"/>
    <x v="189"/>
    <s v="$0.0004246"/>
    <n v="1.6000000000000001E-3"/>
    <x v="82"/>
    <n v="-1.6000000000000001E-3"/>
    <n v="1.6000000000000001E-3"/>
    <s v="$1.24M"/>
    <s v="$86,086"/>
    <n v="86086"/>
    <s v="2.91B"/>
    <s v="No"/>
    <n v="4.2460000000000002E-4"/>
    <n v="4.2392172523961663E-4"/>
    <x v="1"/>
    <n v="6.7827476038338644E-7"/>
    <n v="-1.6000000000000001E-3"/>
    <x v="1"/>
    <x v="0"/>
  </r>
  <r>
    <x v="191"/>
    <x v="190"/>
    <s v="$0.006649"/>
    <n v="0"/>
    <x v="25"/>
    <n v="0"/>
    <n v="0"/>
    <s v="$1.59M"/>
    <s v="$36"/>
    <n v="36"/>
    <s v="239.74M"/>
    <s v="Yes"/>
    <n v="6.6490000000000004E-3"/>
    <n v="6.6490000000000004E-3"/>
    <x v="1"/>
    <n v="0"/>
    <n v="0"/>
    <x v="1"/>
    <x v="3"/>
  </r>
  <r>
    <x v="192"/>
    <x v="191"/>
    <s v="$0.0004946"/>
    <n v="4.3E-3"/>
    <x v="112"/>
    <n v="-4.3E-3"/>
    <n v="4.3E-3"/>
    <s v="$1.24M"/>
    <s v="$150,756"/>
    <n v="150756"/>
    <s v="2.5B"/>
    <s v="No"/>
    <n v="4.9459999999999999E-4"/>
    <n v="4.9248232599820774E-4"/>
    <x v="1"/>
    <n v="2.1176740017922512E-6"/>
    <n v="-4.3E-3"/>
    <x v="1"/>
    <x v="0"/>
  </r>
  <r>
    <x v="193"/>
    <x v="192"/>
    <s v="$0.1065"/>
    <n v="0"/>
    <x v="25"/>
    <n v="0"/>
    <n v="0"/>
    <s v="$9.26M"/>
    <s v="N/A"/>
    <n v="0"/>
    <s v="86.91M"/>
    <s v="Yes"/>
    <n v="0.1065"/>
    <n v="0.1065"/>
    <x v="1"/>
    <n v="0"/>
    <n v="0"/>
    <x v="1"/>
    <x v="2"/>
  </r>
  <r>
    <x v="194"/>
    <x v="193"/>
    <s v="$0.04456"/>
    <n v="1.26E-2"/>
    <x v="65"/>
    <n v="-1.26E-2"/>
    <n v="1.26E-2"/>
    <s v="$1.24M"/>
    <s v="$18"/>
    <n v="18"/>
    <s v="27.73M"/>
    <s v="No"/>
    <n v="4.4560000000000002E-2"/>
    <n v="4.4005530317993292E-2"/>
    <x v="1"/>
    <n v="5.5446968200670993E-4"/>
    <n v="-1.26E-2"/>
    <x v="1"/>
    <x v="0"/>
  </r>
  <r>
    <x v="195"/>
    <x v="194"/>
    <s v="$0.0003842"/>
    <n v="0"/>
    <x v="25"/>
    <n v="0"/>
    <n v="0"/>
    <s v="$1.57M"/>
    <s v="N/A"/>
    <n v="0"/>
    <s v="4.07B"/>
    <s v="Yes"/>
    <n v="3.8420000000000001E-4"/>
    <n v="3.8420000000000001E-4"/>
    <x v="1"/>
    <n v="0"/>
    <n v="0"/>
    <x v="1"/>
    <x v="3"/>
  </r>
  <r>
    <x v="196"/>
    <x v="195"/>
    <s v="$0.0001380"/>
    <n v="0.1177"/>
    <x v="113"/>
    <n v="-0.1177"/>
    <n v="0.1177"/>
    <s v="$1.23M"/>
    <s v="$1,609,979"/>
    <n v="1609979"/>
    <s v="8.88B"/>
    <s v="No"/>
    <n v="1.3799999999999999E-4"/>
    <n v="1.234678357340968E-4"/>
    <x v="1"/>
    <n v="1.4532164265903196E-5"/>
    <n v="-0.1177"/>
    <x v="1"/>
    <x v="0"/>
  </r>
  <r>
    <x v="197"/>
    <x v="196"/>
    <s v="$0.006238"/>
    <n v="2.9399999999999999E-2"/>
    <x v="114"/>
    <n v="-2.9399999999999999E-2"/>
    <n v="2.9399999999999999E-2"/>
    <s v="$1.21M"/>
    <s v="$32,118"/>
    <n v="32118"/>
    <s v="194.09M"/>
    <s v="No"/>
    <n v="6.2379999999999996E-3"/>
    <n v="6.059840683893529E-3"/>
    <x v="1"/>
    <n v="1.7815931610647064E-4"/>
    <n v="-2.9399999999999999E-2"/>
    <x v="1"/>
    <x v="0"/>
  </r>
  <r>
    <x v="198"/>
    <x v="197"/>
    <s v="$0.001220"/>
    <n v="7.9000000000000008E-3"/>
    <x v="115"/>
    <n v="-7.9000000000000008E-3"/>
    <n v="7.9000000000000008E-3"/>
    <s v="$1.22M"/>
    <s v="$2,223,596"/>
    <n v="2223596"/>
    <s v="1B"/>
    <s v="No"/>
    <n v="1.2199999999999999E-3"/>
    <n v="1.2104375434070841E-3"/>
    <x v="1"/>
    <n v="9.5624565929158887E-6"/>
    <n v="-7.9000000000000008E-3"/>
    <x v="1"/>
    <x v="0"/>
  </r>
  <r>
    <x v="199"/>
    <x v="198"/>
    <s v="$0.01532"/>
    <n v="2.06E-2"/>
    <x v="116"/>
    <n v="-2.06E-2"/>
    <n v="2.06E-2"/>
    <s v="$1.22M"/>
    <s v="$1,855"/>
    <n v="1855"/>
    <s v="79.5M"/>
    <s v="No"/>
    <n v="1.532E-2"/>
    <n v="1.5010777973740938E-2"/>
    <x v="1"/>
    <n v="3.0922202625906225E-4"/>
    <n v="-2.06E-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13690-0D55-44E7-940C-92539E5159E3}"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15" firstHeaderRow="1" firstDataRow="1" firstDataCol="1"/>
  <pivotFields count="5">
    <pivotField axis="axisRow" showAll="0" measureFilter="1" sortType="descending">
      <items count="87">
        <item x="67"/>
        <item x="69"/>
        <item x="54"/>
        <item x="11"/>
        <item x="12"/>
        <item x="24"/>
        <item x="64"/>
        <item x="53"/>
        <item x="13"/>
        <item x="74"/>
        <item x="28"/>
        <item x="21"/>
        <item x="32"/>
        <item x="47"/>
        <item x="76"/>
        <item x="17"/>
        <item x="70"/>
        <item x="46"/>
        <item x="58"/>
        <item x="65"/>
        <item x="0"/>
        <item x="79"/>
        <item x="30"/>
        <item x="41"/>
        <item x="3"/>
        <item x="81"/>
        <item x="80"/>
        <item x="5"/>
        <item x="71"/>
        <item x="49"/>
        <item x="31"/>
        <item x="22"/>
        <item x="10"/>
        <item x="20"/>
        <item x="16"/>
        <item x="26"/>
        <item x="57"/>
        <item x="39"/>
        <item x="50"/>
        <item x="66"/>
        <item x="56"/>
        <item x="77"/>
        <item x="38"/>
        <item x="23"/>
        <item x="73"/>
        <item x="29"/>
        <item x="60"/>
        <item x="8"/>
        <item x="72"/>
        <item x="27"/>
        <item x="14"/>
        <item x="85"/>
        <item x="36"/>
        <item x="37"/>
        <item x="63"/>
        <item x="59"/>
        <item x="34"/>
        <item x="4"/>
        <item x="40"/>
        <item x="48"/>
        <item x="33"/>
        <item x="84"/>
        <item x="55"/>
        <item x="62"/>
        <item x="35"/>
        <item x="1"/>
        <item x="83"/>
        <item x="9"/>
        <item x="68"/>
        <item x="82"/>
        <item x="43"/>
        <item x="42"/>
        <item x="45"/>
        <item x="75"/>
        <item x="19"/>
        <item x="78"/>
        <item x="25"/>
        <item x="18"/>
        <item x="61"/>
        <item x="6"/>
        <item x="52"/>
        <item x="44"/>
        <item x="51"/>
        <item x="2"/>
        <item x="7"/>
        <item x="1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3">
        <item x="1"/>
        <item h="1" x="0"/>
        <item t="default"/>
      </items>
    </pivotField>
  </pivotFields>
  <rowFields count="2">
    <field x="0"/>
    <field x="4"/>
  </rowFields>
  <rowItems count="11">
    <i>
      <x v="83"/>
    </i>
    <i r="1">
      <x/>
    </i>
    <i>
      <x v="57"/>
    </i>
    <i r="1">
      <x/>
    </i>
    <i>
      <x v="27"/>
    </i>
    <i r="1">
      <x/>
    </i>
    <i>
      <x v="79"/>
    </i>
    <i r="1">
      <x/>
    </i>
    <i>
      <x v="84"/>
    </i>
    <i r="1">
      <x/>
    </i>
    <i t="grand">
      <x/>
    </i>
  </rowItems>
  <colItems count="1">
    <i/>
  </colItems>
  <dataFields count="1">
    <dataField name="Sum of volume num" fld="3"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0" count="1" selected="0">
            <x v="83"/>
          </reference>
          <reference field="4" count="1" selected="0">
            <x v="0"/>
          </reference>
        </references>
      </pivotArea>
    </chartFormat>
    <chartFormat chart="2" format="2">
      <pivotArea type="data" outline="0" fieldPosition="0">
        <references count="3">
          <reference field="4294967294" count="1" selected="0">
            <x v="0"/>
          </reference>
          <reference field="0" count="1" selected="0">
            <x v="57"/>
          </reference>
          <reference field="4" count="1" selected="0">
            <x v="0"/>
          </reference>
        </references>
      </pivotArea>
    </chartFormat>
    <chartFormat chart="2" format="3">
      <pivotArea type="data" outline="0" fieldPosition="0">
        <references count="3">
          <reference field="4294967294" count="1" selected="0">
            <x v="0"/>
          </reference>
          <reference field="0" count="1" selected="0">
            <x v="27"/>
          </reference>
          <reference field="4" count="1" selected="0">
            <x v="0"/>
          </reference>
        </references>
      </pivotArea>
    </chartFormat>
    <chartFormat chart="2" format="4">
      <pivotArea type="data" outline="0" fieldPosition="0">
        <references count="3">
          <reference field="4294967294" count="1" selected="0">
            <x v="0"/>
          </reference>
          <reference field="0" count="1" selected="0">
            <x v="79"/>
          </reference>
          <reference field="4" count="1" selected="0">
            <x v="0"/>
          </reference>
        </references>
      </pivotArea>
    </chartFormat>
    <chartFormat chart="2" format="5">
      <pivotArea type="data" outline="0" fieldPosition="0">
        <references count="3">
          <reference field="4294967294" count="1" selected="0">
            <x v="0"/>
          </reference>
          <reference field="0" count="1" selected="0">
            <x v="84"/>
          </reference>
          <reference field="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7BDCD2-BA58-4E0D-9B14-FF935DCD32A7}" name="PivotTable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28" firstHeaderRow="1" firstDataRow="1" firstDataCol="1"/>
  <pivotFields count="19">
    <pivotField axis="axisRow" showAll="0" measureFilter="1" sortType="descending">
      <items count="201">
        <item x="154"/>
        <item x="157"/>
        <item x="131"/>
        <item x="33"/>
        <item x="37"/>
        <item x="63"/>
        <item x="151"/>
        <item x="129"/>
        <item x="40"/>
        <item x="168"/>
        <item x="77"/>
        <item x="56"/>
        <item x="85"/>
        <item x="111"/>
        <item x="177"/>
        <item x="46"/>
        <item x="158"/>
        <item x="109"/>
        <item x="137"/>
        <item x="152"/>
        <item x="0"/>
        <item x="183"/>
        <item x="83"/>
        <item x="100"/>
        <item x="6"/>
        <item x="185"/>
        <item x="184"/>
        <item x="9"/>
        <item x="165"/>
        <item x="116"/>
        <item x="84"/>
        <item x="59"/>
        <item x="30"/>
        <item x="55"/>
        <item x="45"/>
        <item x="66"/>
        <item x="136"/>
        <item x="97"/>
        <item x="117"/>
        <item x="153"/>
        <item x="134"/>
        <item x="180"/>
        <item x="96"/>
        <item x="62"/>
        <item x="167"/>
        <item x="78"/>
        <item x="140"/>
        <item x="24"/>
        <item x="166"/>
        <item x="76"/>
        <item x="41"/>
        <item x="195"/>
        <item x="93"/>
        <item x="94"/>
        <item x="150"/>
        <item x="139"/>
        <item x="89"/>
        <item x="8"/>
        <item x="98"/>
        <item x="114"/>
        <item x="88"/>
        <item x="193"/>
        <item x="133"/>
        <item x="147"/>
        <item x="92"/>
        <item x="1"/>
        <item x="191"/>
        <item x="25"/>
        <item x="26"/>
        <item x="20"/>
        <item x="23"/>
        <item x="16"/>
        <item x="163"/>
        <item x="73"/>
        <item x="61"/>
        <item x="57"/>
        <item x="49"/>
        <item x="176"/>
        <item x="34"/>
        <item x="70"/>
        <item x="178"/>
        <item x="72"/>
        <item x="126"/>
        <item x="159"/>
        <item x="164"/>
        <item x="199"/>
        <item x="51"/>
        <item x="155"/>
        <item x="188"/>
        <item x="103"/>
        <item x="21"/>
        <item x="110"/>
        <item x="142"/>
        <item x="141"/>
        <item x="80"/>
        <item x="118"/>
        <item x="121"/>
        <item x="60"/>
        <item x="196"/>
        <item x="86"/>
        <item x="173"/>
        <item x="175"/>
        <item x="27"/>
        <item x="144"/>
        <item x="87"/>
        <item x="17"/>
        <item x="42"/>
        <item x="67"/>
        <item x="135"/>
        <item x="43"/>
        <item x="115"/>
        <item x="148"/>
        <item x="189"/>
        <item x="69"/>
        <item x="82"/>
        <item x="50"/>
        <item x="54"/>
        <item x="113"/>
        <item x="75"/>
        <item x="130"/>
        <item x="170"/>
        <item x="112"/>
        <item x="101"/>
        <item x="108"/>
        <item x="169"/>
        <item x="52"/>
        <item x="181"/>
        <item x="65"/>
        <item x="47"/>
        <item x="146"/>
        <item x="13"/>
        <item x="124"/>
        <item x="95"/>
        <item x="32"/>
        <item x="104"/>
        <item x="102"/>
        <item x="119"/>
        <item x="74"/>
        <item x="162"/>
        <item x="90"/>
        <item x="143"/>
        <item x="10"/>
        <item x="81"/>
        <item x="15"/>
        <item x="171"/>
        <item x="79"/>
        <item x="12"/>
        <item x="186"/>
        <item x="31"/>
        <item x="172"/>
        <item x="145"/>
        <item x="182"/>
        <item x="194"/>
        <item x="160"/>
        <item x="68"/>
        <item x="91"/>
        <item x="39"/>
        <item x="53"/>
        <item x="5"/>
        <item x="36"/>
        <item x="48"/>
        <item x="192"/>
        <item x="99"/>
        <item x="179"/>
        <item x="71"/>
        <item x="198"/>
        <item x="174"/>
        <item x="125"/>
        <item x="161"/>
        <item x="35"/>
        <item x="2"/>
        <item x="14"/>
        <item x="64"/>
        <item x="58"/>
        <item x="197"/>
        <item x="190"/>
        <item x="128"/>
        <item x="105"/>
        <item x="7"/>
        <item x="132"/>
        <item x="19"/>
        <item x="156"/>
        <item x="107"/>
        <item x="122"/>
        <item x="4"/>
        <item x="18"/>
        <item x="44"/>
        <item x="138"/>
        <item x="127"/>
        <item x="120"/>
        <item x="187"/>
        <item x="11"/>
        <item x="123"/>
        <item x="106"/>
        <item x="149"/>
        <item x="29"/>
        <item x="38"/>
        <item x="28"/>
        <item x="3"/>
        <item x="22"/>
        <item t="default"/>
      </items>
      <autoSortScope>
        <pivotArea dataOnly="0" outline="0" fieldPosition="0">
          <references count="1">
            <reference field="4294967294" count="1" selected="0">
              <x v="0"/>
            </reference>
          </references>
        </pivotArea>
      </autoSortScope>
    </pivotField>
    <pivotField axis="axisRow" showAll="0">
      <items count="200">
        <item x="153"/>
        <item x="110"/>
        <item x="9"/>
        <item x="156"/>
        <item x="130"/>
        <item x="33"/>
        <item x="40"/>
        <item x="37"/>
        <item x="150"/>
        <item x="128"/>
        <item x="77"/>
        <item x="167"/>
        <item x="85"/>
        <item x="64"/>
        <item x="63"/>
        <item x="176"/>
        <item x="46"/>
        <item x="99"/>
        <item x="183"/>
        <item x="136"/>
        <item x="108"/>
        <item x="151"/>
        <item x="83"/>
        <item x="6"/>
        <item x="139"/>
        <item x="0"/>
        <item x="182"/>
        <item x="131"/>
        <item x="113"/>
        <item x="157"/>
        <item x="184"/>
        <item x="116"/>
        <item x="84"/>
        <item x="164"/>
        <item x="115"/>
        <item x="30"/>
        <item x="59"/>
        <item x="45"/>
        <item x="179"/>
        <item x="135"/>
        <item x="68"/>
        <item x="152"/>
        <item x="55"/>
        <item x="133"/>
        <item x="66"/>
        <item x="62"/>
        <item x="95"/>
        <item x="149"/>
        <item x="41"/>
        <item x="78"/>
        <item x="194"/>
        <item x="97"/>
        <item x="138"/>
        <item x="190"/>
        <item x="89"/>
        <item x="8"/>
        <item x="88"/>
        <item x="165"/>
        <item x="166"/>
        <item x="93"/>
        <item x="76"/>
        <item x="192"/>
        <item x="92"/>
        <item x="1"/>
        <item x="25"/>
        <item x="146"/>
        <item x="73"/>
        <item x="180"/>
        <item x="16"/>
        <item x="23"/>
        <item x="162"/>
        <item x="56"/>
        <item x="20"/>
        <item x="34"/>
        <item x="57"/>
        <item x="49"/>
        <item x="61"/>
        <item x="175"/>
        <item x="171"/>
        <item x="70"/>
        <item x="177"/>
        <item x="72"/>
        <item x="51"/>
        <item x="134"/>
        <item x="158"/>
        <item x="163"/>
        <item x="125"/>
        <item x="198"/>
        <item x="154"/>
        <item x="187"/>
        <item x="102"/>
        <item x="21"/>
        <item x="109"/>
        <item x="141"/>
        <item x="140"/>
        <item x="80"/>
        <item x="117"/>
        <item x="120"/>
        <item x="60"/>
        <item x="195"/>
        <item x="74"/>
        <item x="186"/>
        <item x="172"/>
        <item x="174"/>
        <item x="27"/>
        <item x="86"/>
        <item x="35"/>
        <item x="143"/>
        <item x="24"/>
        <item x="178"/>
        <item x="42"/>
        <item x="67"/>
        <item x="43"/>
        <item x="87"/>
        <item x="147"/>
        <item x="114"/>
        <item x="188"/>
        <item x="69"/>
        <item x="82"/>
        <item x="75"/>
        <item x="71"/>
        <item x="54"/>
        <item x="129"/>
        <item x="169"/>
        <item x="111"/>
        <item x="112"/>
        <item x="100"/>
        <item x="13"/>
        <item x="107"/>
        <item x="145"/>
        <item x="123"/>
        <item x="52"/>
        <item x="47"/>
        <item x="168"/>
        <item x="32"/>
        <item x="10"/>
        <item x="101"/>
        <item x="118"/>
        <item x="161"/>
        <item x="90"/>
        <item x="142"/>
        <item x="94"/>
        <item x="81"/>
        <item x="15"/>
        <item x="170"/>
        <item x="12"/>
        <item x="181"/>
        <item x="185"/>
        <item x="79"/>
        <item x="31"/>
        <item x="193"/>
        <item x="159"/>
        <item x="173"/>
        <item x="91"/>
        <item x="39"/>
        <item x="53"/>
        <item x="124"/>
        <item x="5"/>
        <item x="48"/>
        <item x="191"/>
        <item x="98"/>
        <item x="197"/>
        <item x="36"/>
        <item x="160"/>
        <item x="17"/>
        <item x="58"/>
        <item x="189"/>
        <item x="127"/>
        <item x="104"/>
        <item x="155"/>
        <item x="7"/>
        <item x="19"/>
        <item x="106"/>
        <item x="121"/>
        <item x="44"/>
        <item x="4"/>
        <item x="26"/>
        <item x="2"/>
        <item x="65"/>
        <item x="18"/>
        <item x="126"/>
        <item x="119"/>
        <item x="137"/>
        <item x="11"/>
        <item x="148"/>
        <item x="105"/>
        <item x="29"/>
        <item x="38"/>
        <item x="28"/>
        <item x="122"/>
        <item x="50"/>
        <item x="132"/>
        <item x="96"/>
        <item x="103"/>
        <item x="3"/>
        <item x="144"/>
        <item x="196"/>
        <item x="14"/>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s>
  <rowFields count="2">
    <field x="0"/>
    <field x="1"/>
  </rowFields>
  <rowItems count="21">
    <i>
      <x v="20"/>
    </i>
    <i r="1">
      <x v="25"/>
    </i>
    <i>
      <x v="65"/>
    </i>
    <i r="1">
      <x v="63"/>
    </i>
    <i>
      <x v="48"/>
    </i>
    <i r="1">
      <x v="57"/>
    </i>
    <i>
      <x v="158"/>
    </i>
    <i r="1">
      <x v="157"/>
    </i>
    <i>
      <x v="24"/>
    </i>
    <i r="1">
      <x v="23"/>
    </i>
    <i>
      <x v="17"/>
    </i>
    <i r="1">
      <x v="20"/>
    </i>
    <i>
      <x v="30"/>
    </i>
    <i r="1">
      <x v="32"/>
    </i>
    <i>
      <x v="146"/>
    </i>
    <i r="1">
      <x v="145"/>
    </i>
    <i>
      <x v="90"/>
    </i>
    <i r="1">
      <x v="91"/>
    </i>
    <i>
      <x v="197"/>
    </i>
    <i r="1">
      <x v="188"/>
    </i>
    <i t="grand">
      <x/>
    </i>
  </rowItems>
  <colItems count="1">
    <i/>
  </colItems>
  <dataFields count="1">
    <dataField name="Sum of price change" fld="15"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E5C8AA-B5DD-437E-8945-61CEB7B046A4}" name="PivotTable3" cacheId="8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D15" firstHeaderRow="0" firstDataRow="1" firstDataCol="1" rowPageCount="1" colPageCount="1"/>
  <pivotFields count="19">
    <pivotField axis="axisRow" showAll="0" measureFilter="1">
      <items count="201">
        <item x="154"/>
        <item x="157"/>
        <item x="131"/>
        <item x="33"/>
        <item x="37"/>
        <item x="63"/>
        <item x="151"/>
        <item x="129"/>
        <item x="40"/>
        <item x="168"/>
        <item x="77"/>
        <item x="56"/>
        <item x="85"/>
        <item x="111"/>
        <item x="177"/>
        <item x="46"/>
        <item x="158"/>
        <item x="109"/>
        <item x="137"/>
        <item x="152"/>
        <item x="0"/>
        <item x="183"/>
        <item x="83"/>
        <item x="100"/>
        <item x="6"/>
        <item x="185"/>
        <item x="184"/>
        <item x="9"/>
        <item x="165"/>
        <item x="116"/>
        <item x="84"/>
        <item x="59"/>
        <item x="30"/>
        <item x="55"/>
        <item x="45"/>
        <item x="66"/>
        <item x="136"/>
        <item x="97"/>
        <item x="117"/>
        <item x="153"/>
        <item x="134"/>
        <item x="180"/>
        <item x="96"/>
        <item x="62"/>
        <item x="167"/>
        <item x="78"/>
        <item x="140"/>
        <item x="24"/>
        <item x="166"/>
        <item x="76"/>
        <item x="41"/>
        <item x="195"/>
        <item x="93"/>
        <item x="94"/>
        <item x="150"/>
        <item x="139"/>
        <item x="89"/>
        <item x="8"/>
        <item x="98"/>
        <item x="114"/>
        <item x="88"/>
        <item x="193"/>
        <item x="133"/>
        <item x="147"/>
        <item x="92"/>
        <item x="1"/>
        <item x="191"/>
        <item x="25"/>
        <item x="26"/>
        <item x="20"/>
        <item x="23"/>
        <item x="16"/>
        <item x="163"/>
        <item x="73"/>
        <item x="61"/>
        <item x="57"/>
        <item x="49"/>
        <item x="176"/>
        <item x="34"/>
        <item x="70"/>
        <item x="178"/>
        <item x="72"/>
        <item x="126"/>
        <item x="159"/>
        <item x="164"/>
        <item x="199"/>
        <item x="51"/>
        <item x="155"/>
        <item x="188"/>
        <item x="103"/>
        <item x="21"/>
        <item x="110"/>
        <item x="142"/>
        <item x="141"/>
        <item x="80"/>
        <item x="118"/>
        <item x="121"/>
        <item x="60"/>
        <item x="196"/>
        <item x="86"/>
        <item x="173"/>
        <item x="175"/>
        <item x="27"/>
        <item x="144"/>
        <item x="87"/>
        <item x="17"/>
        <item x="42"/>
        <item x="67"/>
        <item x="135"/>
        <item x="43"/>
        <item x="115"/>
        <item x="148"/>
        <item x="189"/>
        <item x="69"/>
        <item x="82"/>
        <item x="50"/>
        <item x="54"/>
        <item x="113"/>
        <item x="75"/>
        <item x="130"/>
        <item x="170"/>
        <item x="112"/>
        <item x="101"/>
        <item x="108"/>
        <item x="169"/>
        <item x="52"/>
        <item x="181"/>
        <item x="65"/>
        <item x="47"/>
        <item x="146"/>
        <item x="13"/>
        <item x="124"/>
        <item x="95"/>
        <item x="32"/>
        <item x="104"/>
        <item x="102"/>
        <item x="119"/>
        <item x="74"/>
        <item x="162"/>
        <item x="90"/>
        <item x="143"/>
        <item x="10"/>
        <item x="81"/>
        <item x="15"/>
        <item x="171"/>
        <item x="79"/>
        <item x="12"/>
        <item x="186"/>
        <item x="31"/>
        <item x="172"/>
        <item x="145"/>
        <item x="182"/>
        <item x="194"/>
        <item x="160"/>
        <item x="68"/>
        <item x="91"/>
        <item x="39"/>
        <item x="53"/>
        <item x="5"/>
        <item x="36"/>
        <item x="48"/>
        <item x="192"/>
        <item x="99"/>
        <item x="179"/>
        <item x="71"/>
        <item x="198"/>
        <item x="174"/>
        <item x="125"/>
        <item x="161"/>
        <item x="35"/>
        <item x="2"/>
        <item x="14"/>
        <item x="64"/>
        <item x="58"/>
        <item x="197"/>
        <item x="190"/>
        <item x="128"/>
        <item x="105"/>
        <item x="7"/>
        <item x="132"/>
        <item x="19"/>
        <item x="156"/>
        <item x="107"/>
        <item x="122"/>
        <item x="4"/>
        <item x="18"/>
        <item x="44"/>
        <item x="138"/>
        <item x="127"/>
        <item x="120"/>
        <item x="187"/>
        <item x="11"/>
        <item x="123"/>
        <item x="106"/>
        <item x="149"/>
        <item x="29"/>
        <item x="38"/>
        <item x="28"/>
        <item x="3"/>
        <item x="22"/>
        <item t="default"/>
      </items>
    </pivotField>
    <pivotField showAll="0"/>
    <pivotField showAll="0"/>
    <pivotField showAll="0"/>
    <pivotField dataField="1" showAll="0">
      <items count="118">
        <item x="25"/>
        <item x="19"/>
        <item x="43"/>
        <item x="4"/>
        <item x="2"/>
        <item x="77"/>
        <item x="21"/>
        <item x="24"/>
        <item x="57"/>
        <item x="99"/>
        <item x="6"/>
        <item x="49"/>
        <item x="83"/>
        <item x="39"/>
        <item x="59"/>
        <item x="82"/>
        <item x="71"/>
        <item x="46"/>
        <item x="73"/>
        <item x="91"/>
        <item x="76"/>
        <item x="0"/>
        <item x="64"/>
        <item x="109"/>
        <item x="33"/>
        <item x="53"/>
        <item x="28"/>
        <item x="56"/>
        <item x="94"/>
        <item x="7"/>
        <item x="92"/>
        <item x="72"/>
        <item x="63"/>
        <item x="112"/>
        <item x="50"/>
        <item x="20"/>
        <item x="41"/>
        <item x="81"/>
        <item x="22"/>
        <item x="44"/>
        <item x="35"/>
        <item x="3"/>
        <item x="68"/>
        <item x="87"/>
        <item x="98"/>
        <item x="29"/>
        <item x="14"/>
        <item x="67"/>
        <item x="58"/>
        <item x="89"/>
        <item x="75"/>
        <item x="51"/>
        <item x="1"/>
        <item x="115"/>
        <item x="103"/>
        <item x="106"/>
        <item x="27"/>
        <item x="84"/>
        <item x="105"/>
        <item x="48"/>
        <item x="8"/>
        <item x="40"/>
        <item x="9"/>
        <item x="101"/>
        <item x="5"/>
        <item x="16"/>
        <item x="32"/>
        <item x="69"/>
        <item x="34"/>
        <item x="111"/>
        <item x="31"/>
        <item x="18"/>
        <item x="12"/>
        <item x="96"/>
        <item x="79"/>
        <item x="108"/>
        <item x="88"/>
        <item x="65"/>
        <item x="45"/>
        <item x="23"/>
        <item x="74"/>
        <item x="10"/>
        <item x="70"/>
        <item x="86"/>
        <item x="62"/>
        <item x="47"/>
        <item x="107"/>
        <item x="11"/>
        <item x="54"/>
        <item x="36"/>
        <item x="30"/>
        <item x="95"/>
        <item x="52"/>
        <item x="60"/>
        <item x="90"/>
        <item x="38"/>
        <item x="55"/>
        <item x="116"/>
        <item x="85"/>
        <item x="61"/>
        <item x="15"/>
        <item x="42"/>
        <item x="102"/>
        <item x="78"/>
        <item x="100"/>
        <item x="104"/>
        <item x="114"/>
        <item x="26"/>
        <item x="17"/>
        <item x="110"/>
        <item x="37"/>
        <item x="80"/>
        <item x="66"/>
        <item x="13"/>
        <item x="93"/>
        <item x="113"/>
        <item x="9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s>
  <rowFields count="1">
    <field x="0"/>
  </rowFields>
  <rowItems count="11">
    <i>
      <x v="21"/>
    </i>
    <i>
      <x v="39"/>
    </i>
    <i>
      <x v="50"/>
    </i>
    <i>
      <x v="93"/>
    </i>
    <i>
      <x v="98"/>
    </i>
    <i>
      <x v="105"/>
    </i>
    <i>
      <x v="130"/>
    </i>
    <i>
      <x v="135"/>
    </i>
    <i>
      <x v="142"/>
    </i>
    <i>
      <x v="197"/>
    </i>
    <i t="grand">
      <x/>
    </i>
  </rowItems>
  <colFields count="1">
    <field x="-2"/>
  </colFields>
  <colItems count="3">
    <i>
      <x/>
    </i>
    <i i="1">
      <x v="1"/>
    </i>
    <i i="2">
      <x v="2"/>
    </i>
  </colItems>
  <pageFields count="1">
    <pageField fld="17" item="0" hier="-1"/>
  </pageFields>
  <dataFields count="3">
    <dataField name="Sum of 1h change" fld="4" baseField="0" baseItem="0"/>
    <dataField name="Sum of 7d change " fld="6" baseField="0" baseItem="0"/>
    <dataField name="Sum of 24 hr change " fld="5" baseField="0" baseItem="0"/>
  </dataFields>
  <chartFormats count="3">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2"/>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B6C7FA-16C9-4D1E-A5E6-D7AA0B8B2E66}" name="PivotTable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5" firstHeaderRow="1" firstDataRow="1" firstDataCol="1" rowPageCount="2" colPageCount="1"/>
  <pivotFields count="19">
    <pivotField axis="axisRow" showAll="0" sortType="ascending">
      <items count="201">
        <item x="154"/>
        <item x="157"/>
        <item x="131"/>
        <item x="33"/>
        <item x="37"/>
        <item x="63"/>
        <item x="151"/>
        <item x="129"/>
        <item x="40"/>
        <item x="168"/>
        <item x="77"/>
        <item x="56"/>
        <item x="85"/>
        <item x="111"/>
        <item x="177"/>
        <item x="46"/>
        <item x="158"/>
        <item x="109"/>
        <item x="137"/>
        <item x="152"/>
        <item x="0"/>
        <item x="183"/>
        <item x="83"/>
        <item x="100"/>
        <item x="6"/>
        <item x="185"/>
        <item x="184"/>
        <item x="9"/>
        <item x="165"/>
        <item x="116"/>
        <item x="84"/>
        <item x="59"/>
        <item x="30"/>
        <item x="55"/>
        <item x="45"/>
        <item x="66"/>
        <item x="136"/>
        <item x="97"/>
        <item x="117"/>
        <item x="153"/>
        <item x="134"/>
        <item x="180"/>
        <item x="96"/>
        <item x="62"/>
        <item x="167"/>
        <item x="78"/>
        <item x="140"/>
        <item x="24"/>
        <item x="166"/>
        <item x="76"/>
        <item x="41"/>
        <item x="195"/>
        <item x="93"/>
        <item x="94"/>
        <item x="150"/>
        <item x="139"/>
        <item x="89"/>
        <item x="8"/>
        <item x="98"/>
        <item x="114"/>
        <item x="88"/>
        <item x="193"/>
        <item x="133"/>
        <item x="147"/>
        <item x="92"/>
        <item x="1"/>
        <item x="191"/>
        <item x="25"/>
        <item x="26"/>
        <item x="20"/>
        <item x="23"/>
        <item x="16"/>
        <item x="163"/>
        <item x="73"/>
        <item x="61"/>
        <item x="57"/>
        <item x="49"/>
        <item x="176"/>
        <item x="34"/>
        <item x="70"/>
        <item x="178"/>
        <item x="72"/>
        <item x="126"/>
        <item x="159"/>
        <item x="164"/>
        <item x="199"/>
        <item x="51"/>
        <item x="155"/>
        <item x="188"/>
        <item x="103"/>
        <item x="21"/>
        <item x="110"/>
        <item x="142"/>
        <item x="141"/>
        <item x="80"/>
        <item x="118"/>
        <item x="121"/>
        <item x="60"/>
        <item x="196"/>
        <item x="86"/>
        <item x="173"/>
        <item x="175"/>
        <item x="27"/>
        <item x="144"/>
        <item x="87"/>
        <item x="17"/>
        <item x="42"/>
        <item x="67"/>
        <item x="135"/>
        <item x="43"/>
        <item x="115"/>
        <item x="148"/>
        <item x="189"/>
        <item x="69"/>
        <item x="82"/>
        <item x="50"/>
        <item x="54"/>
        <item x="113"/>
        <item x="75"/>
        <item x="130"/>
        <item x="170"/>
        <item x="112"/>
        <item x="101"/>
        <item x="108"/>
        <item x="169"/>
        <item x="52"/>
        <item x="181"/>
        <item x="65"/>
        <item x="47"/>
        <item x="146"/>
        <item x="13"/>
        <item x="124"/>
        <item x="95"/>
        <item x="32"/>
        <item x="104"/>
        <item x="102"/>
        <item x="119"/>
        <item x="74"/>
        <item x="162"/>
        <item x="90"/>
        <item x="143"/>
        <item x="10"/>
        <item x="81"/>
        <item x="15"/>
        <item x="171"/>
        <item x="79"/>
        <item x="12"/>
        <item x="186"/>
        <item x="31"/>
        <item x="172"/>
        <item x="145"/>
        <item x="182"/>
        <item x="194"/>
        <item x="160"/>
        <item x="68"/>
        <item x="91"/>
        <item x="39"/>
        <item x="53"/>
        <item x="5"/>
        <item x="36"/>
        <item x="48"/>
        <item x="192"/>
        <item x="99"/>
        <item x="179"/>
        <item x="71"/>
        <item x="198"/>
        <item x="174"/>
        <item x="125"/>
        <item x="161"/>
        <item x="35"/>
        <item x="2"/>
        <item x="14"/>
        <item x="64"/>
        <item x="58"/>
        <item x="197"/>
        <item x="190"/>
        <item x="128"/>
        <item x="105"/>
        <item x="7"/>
        <item x="132"/>
        <item x="19"/>
        <item x="156"/>
        <item x="107"/>
        <item x="122"/>
        <item x="4"/>
        <item x="18"/>
        <item x="44"/>
        <item x="138"/>
        <item x="127"/>
        <item x="120"/>
        <item x="187"/>
        <item x="11"/>
        <item x="123"/>
        <item x="106"/>
        <item x="149"/>
        <item x="29"/>
        <item x="38"/>
        <item x="28"/>
        <item x="3"/>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dataField="1" showAll="0"/>
    <pivotField showAll="0"/>
    <pivotField axis="axisPage" showAll="0">
      <items count="5">
        <item x="0"/>
        <item x="1"/>
        <item x="2"/>
        <item x="3"/>
        <item t="default"/>
      </items>
    </pivotField>
  </pivotFields>
  <rowFields count="1">
    <field x="0"/>
  </rowFields>
  <rowItems count="121">
    <i>
      <x v="98"/>
    </i>
    <i>
      <x v="93"/>
    </i>
    <i>
      <x v="142"/>
    </i>
    <i>
      <x v="135"/>
    </i>
    <i>
      <x v="105"/>
    </i>
    <i>
      <x v="197"/>
    </i>
    <i>
      <x v="174"/>
    </i>
    <i>
      <x v="48"/>
    </i>
    <i>
      <x v="153"/>
    </i>
    <i>
      <x v="162"/>
    </i>
    <i>
      <x v="84"/>
    </i>
    <i>
      <x v="160"/>
    </i>
    <i>
      <x v="143"/>
    </i>
    <i>
      <x v="73"/>
    </i>
    <i>
      <x v="95"/>
    </i>
    <i>
      <x v="85"/>
    </i>
    <i>
      <x v="106"/>
    </i>
    <i>
      <x v="164"/>
    </i>
    <i>
      <x v="97"/>
    </i>
    <i>
      <x v="111"/>
    </i>
    <i>
      <x v="156"/>
    </i>
    <i>
      <x v="144"/>
    </i>
    <i>
      <x v="191"/>
    </i>
    <i>
      <x v="100"/>
    </i>
    <i>
      <x v="157"/>
    </i>
    <i>
      <x v="118"/>
    </i>
    <i>
      <x v="167"/>
    </i>
    <i>
      <x v="136"/>
    </i>
    <i>
      <x v="141"/>
    </i>
    <i>
      <x v="86"/>
    </i>
    <i>
      <x v="119"/>
    </i>
    <i>
      <x v="152"/>
    </i>
    <i>
      <x v="145"/>
    </i>
    <i>
      <x v="110"/>
    </i>
    <i>
      <x v="101"/>
    </i>
    <i>
      <x v="146"/>
    </i>
    <i>
      <x v="78"/>
    </i>
    <i>
      <x v="147"/>
    </i>
    <i>
      <x v="96"/>
    </i>
    <i>
      <x v="99"/>
    </i>
    <i>
      <x v="103"/>
    </i>
    <i>
      <x v="169"/>
    </i>
    <i>
      <x v="71"/>
    </i>
    <i>
      <x v="158"/>
    </i>
    <i>
      <x v="80"/>
    </i>
    <i>
      <x v="168"/>
    </i>
    <i>
      <x v="139"/>
    </i>
    <i>
      <x v="137"/>
    </i>
    <i>
      <x v="116"/>
    </i>
    <i>
      <x v="117"/>
    </i>
    <i>
      <x v="120"/>
    </i>
    <i>
      <x v="165"/>
    </i>
    <i>
      <x v="81"/>
    </i>
    <i>
      <x v="65"/>
    </i>
    <i>
      <x v="82"/>
    </i>
    <i>
      <x v="113"/>
    </i>
    <i>
      <x v="194"/>
    </i>
    <i>
      <x v="195"/>
    </i>
    <i>
      <x v="171"/>
    </i>
    <i>
      <x v="133"/>
    </i>
    <i>
      <x v="92"/>
    </i>
    <i>
      <x v="104"/>
    </i>
    <i>
      <x v="198"/>
    </i>
    <i>
      <x v="196"/>
    </i>
    <i>
      <x v="115"/>
    </i>
    <i>
      <x v="192"/>
    </i>
    <i>
      <x v="102"/>
    </i>
    <i>
      <x v="70"/>
    </i>
    <i>
      <x v="90"/>
    </i>
    <i>
      <x v="189"/>
    </i>
    <i>
      <x v="75"/>
    </i>
    <i>
      <x v="161"/>
    </i>
    <i>
      <x v="94"/>
    </i>
    <i>
      <x v="155"/>
    </i>
    <i>
      <x v="178"/>
    </i>
    <i>
      <x v="148"/>
    </i>
    <i>
      <x v="154"/>
    </i>
    <i>
      <x v="74"/>
    </i>
    <i>
      <x v="159"/>
    </i>
    <i>
      <x v="151"/>
    </i>
    <i>
      <x v="91"/>
    </i>
    <i>
      <x v="20"/>
    </i>
    <i>
      <x v="193"/>
    </i>
    <i>
      <x v="108"/>
    </i>
    <i>
      <x v="112"/>
    </i>
    <i>
      <x v="132"/>
    </i>
    <i>
      <x v="17"/>
    </i>
    <i>
      <x v="175"/>
    </i>
    <i>
      <x v="176"/>
    </i>
    <i>
      <x v="79"/>
    </i>
    <i>
      <x v="109"/>
    </i>
    <i>
      <x v="121"/>
    </i>
    <i>
      <x v="150"/>
    </i>
    <i>
      <x v="83"/>
    </i>
    <i>
      <x v="173"/>
    </i>
    <i>
      <x v="166"/>
    </i>
    <i>
      <x v="24"/>
    </i>
    <i>
      <x v="72"/>
    </i>
    <i>
      <x v="181"/>
    </i>
    <i>
      <x v="149"/>
    </i>
    <i>
      <x v="107"/>
    </i>
    <i>
      <x v="30"/>
    </i>
    <i>
      <x v="199"/>
    </i>
    <i>
      <x v="177"/>
    </i>
    <i>
      <x v="170"/>
    </i>
    <i>
      <x v="172"/>
    </i>
    <i>
      <x v="134"/>
    </i>
    <i>
      <x v="77"/>
    </i>
    <i>
      <x v="140"/>
    </i>
    <i>
      <x v="76"/>
    </i>
    <i>
      <x v="114"/>
    </i>
    <i>
      <x v="180"/>
    </i>
    <i>
      <x v="69"/>
    </i>
    <i>
      <x v="187"/>
    </i>
    <i>
      <x v="138"/>
    </i>
    <i>
      <x v="179"/>
    </i>
    <i>
      <x v="190"/>
    </i>
    <i>
      <x v="68"/>
    </i>
    <i>
      <x v="188"/>
    </i>
    <i>
      <x v="163"/>
    </i>
    <i t="grand">
      <x/>
    </i>
  </rowItems>
  <colItems count="1">
    <i/>
  </colItems>
  <pageFields count="2">
    <pageField fld="18" item="0" hier="-1"/>
    <pageField fld="14" hier="-1"/>
  </pageFields>
  <dataFields count="1">
    <dataField name="Average of average downfall" fld="16" subtotal="average"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F4592D63-C0FA-48C4-BB2D-C69E502FE26D}" sourceName="price range">
  <pivotTables>
    <pivotTable tabId="7" name="PivotTable1"/>
  </pivotTables>
  <data>
    <tabular pivotCacheId="144744588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 xr10:uid="{2A5A2FE0-6D1A-4814-9C4E-C1039AB5C6F4}" sourceName="Range">
  <pivotTables>
    <pivotTable tabId="11" name="PivotTable1"/>
  </pivotTables>
  <data>
    <tabular pivotCacheId="223797270">
      <items count="4">
        <i x="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1" xr10:uid="{96AB4C84-96CC-4054-B09C-09221A411BBE}" sourceName="price range">
  <pivotTables>
    <pivotTable tabId="9" name="PivotTable2"/>
  </pivotTables>
  <data>
    <tabular pivotCacheId="22379727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5_range" xr10:uid="{B57EDEB4-02AC-4866-A941-BE1759417845}" sourceName="task5 range">
  <pivotTables>
    <pivotTable tabId="10" name="PivotTable3"/>
  </pivotTables>
  <data>
    <tabular pivotCacheId="223797270">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9444C7AB-B943-413C-A99A-42056708B123}" cache="Slicer_price_range" caption="price 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C53018A2-D6E9-499E-BEE6-E9D5AAF53E83}" cache="Slicer_price_range1" caption="price ran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5 range" xr10:uid="{E395BEA2-1B8A-479A-B1DE-3859363549DB}" cache="Slicer_task5_range" caption="task5 rang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ge" xr10:uid="{9A595201-A230-434A-828C-125EE8A3183A}" cache="Slicer_Range" caption="Ran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9EBB5-D104-45E7-8ED5-C3C7091EBAED}" name="Table1" displayName="Table1" ref="A1:S201" totalsRowShown="0" headerRowDxfId="30" dataDxfId="0" headerRowBorderDxfId="29" tableBorderDxfId="28">
  <autoFilter ref="A1:S201" xr:uid="{9779EBB5-D104-45E7-8ED5-C3C7091EBAED}"/>
  <sortState xmlns:xlrd2="http://schemas.microsoft.com/office/spreadsheetml/2017/richdata2" ref="A2:L197">
    <sortCondition descending="1" ref="J1:J201"/>
  </sortState>
  <tableColumns count="19">
    <tableColumn id="1" xr3:uid="{CA6924E3-B53C-486D-8EB6-F0C0E2C0865F}" name="Coin Name" dataDxfId="19"/>
    <tableColumn id="2" xr3:uid="{FD4A4993-6EC3-4A3C-BF18-1F0D0F1E27EF}" name="Symbol" dataDxfId="18"/>
    <tableColumn id="3" xr3:uid="{A84E2CCE-3AE3-46FB-8FF5-9F17E4CF5CBF}" name="Price (USD)" dataDxfId="17"/>
    <tableColumn id="4" xr3:uid="{B245A9AC-24E1-42FB-A6CD-C17C7FE1456B}" name="1h Change (%)" dataDxfId="16"/>
    <tableColumn id="14" xr3:uid="{3A655A0B-F272-4E1A-84A8-F991B9F8BEED}" name="1h change" dataDxfId="15">
      <calculatedColumnFormula>D2</calculatedColumnFormula>
    </tableColumn>
    <tableColumn id="15" xr3:uid="{5BDAFC43-DB7B-4C4B-8E9F-3A026477F4E4}" name="24 hr change " dataDxfId="14">
      <calculatedColumnFormula>-D2</calculatedColumnFormula>
    </tableColumn>
    <tableColumn id="16" xr3:uid="{4B61941D-91B6-488A-94B9-B91ADCDFBE57}" name="7d change " dataDxfId="13">
      <calculatedColumnFormula>D2</calculatedColumnFormula>
    </tableColumn>
    <tableColumn id="5" xr3:uid="{9FB3C8C5-CCEC-4BBF-BF2D-C0FED78B54B4}" name="Market Cap" dataDxfId="12"/>
    <tableColumn id="6" xr3:uid="{D260A5E5-6A2F-457E-8A16-B1DA727344FD}" name="Volume (24h) USD" dataDxfId="11"/>
    <tableColumn id="10" xr3:uid="{764CF7A6-1F32-4BA9-AEBD-418C249396CC}" name="volume num" dataDxfId="10">
      <calculatedColumnFormula>IFERROR(VALUE(SUBSTITUTE(SUBSTITUTE(Table1[[#This Row],[Volume (24h) USD]],"$",""),",","")),0)</calculatedColumnFormula>
    </tableColumn>
    <tableColumn id="7" xr3:uid="{F0637E93-C291-42F4-B4BD-8CF1092868D0}" name="Circulating Supply" dataDxfId="9"/>
    <tableColumn id="8" xr3:uid="{72A0514A-E266-45B1-9810-1C422937AAA9}" name="Allowed coin" dataDxfId="8">
      <calculatedColumnFormula>IF(OR(LEFT(Table1[[#This Row],[Coin Name]],1)="A",LEFT(Table1[[#This Row],[Coin Name]],1)="E",LEFT(Table1[[#This Row],[Coin Name]],1)="I",LEFT(Table1[[#This Row],[Coin Name]],1)="O",LEFT(Table1[[#This Row],[Coin Name]],1)="U",LEFT(Table1[[#This Row],[Coin Name]],1)="B",LEFT(Table1[[#This Row],[Coin Name]],1)="C",LEFT(Table1[[#This Row],[Coin Name]],1)="D"),"Yes","No")</calculatedColumnFormula>
    </tableColumn>
    <tableColumn id="9" xr3:uid="{279AEB35-2F37-495E-8F68-A26527DDE684}" name="current price " dataDxfId="7">
      <calculatedColumnFormula>VALUE(SUBSTITUTE(C2,"$",""))</calculatedColumnFormula>
    </tableColumn>
    <tableColumn id="11" xr3:uid="{42CD88FE-6045-4592-8CEB-4F79117B9CAC}" name="previous price " dataDxfId="6">
      <calculatedColumnFormula>M2/(1+D2)</calculatedColumnFormula>
    </tableColumn>
    <tableColumn id="12" xr3:uid="{CCA169E9-EFC3-4036-A519-A4C011BADBDA}" name="price range" dataDxfId="5">
      <calculatedColumnFormula>IF(M2&lt;10,"Up to $10","&gt;= $10")</calculatedColumnFormula>
    </tableColumn>
    <tableColumn id="20" xr3:uid="{15A4C4BE-989F-4E49-8FD2-45F8676B218A}" name="price change" dataDxfId="4">
      <calculatedColumnFormula>M2-N2</calculatedColumnFormula>
    </tableColumn>
    <tableColumn id="13" xr3:uid="{2B2BB465-AB40-4BF7-BB53-ECC24CE5822E}" name="average downfall" dataDxfId="3">
      <calculatedColumnFormula>F2</calculatedColumnFormula>
    </tableColumn>
    <tableColumn id="21" xr3:uid="{52571743-5B1F-4C27-A27B-CA819722920E}" name="task5 range" dataDxfId="2">
      <calculatedColumnFormula>IF(M2&lt;=5,"$0-$5","&gt;$5")</calculatedColumnFormula>
    </tableColumn>
    <tableColumn id="19" xr3:uid="{6C3C1931-0CAD-407D-9C6C-CF44FB9738ED}" name="Range" dataDxfId="1">
      <calculatedColumnFormula>IF(C2&lt;=0.05,"$0-$0.05",
IF(C2&lt;=0.5,"$0.05-$0.5",
IF(C2&lt;=5,"$0.5-$5",
IF(C2&lt;=50,"$5-$50","&gt;$50"))))</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ED62ED-BEA3-4412-AB12-D7922E62BA1E}" name="Table3" displayName="Table3" ref="A6:C12" totalsRowShown="0">
  <autoFilter ref="A6:C12" xr:uid="{EDED62ED-BEA3-4412-AB12-D7922E62BA1E}"/>
  <tableColumns count="3">
    <tableColumn id="1" xr3:uid="{BE9C6B66-DA05-4667-8CB0-373B4BD140BE}" name="field"/>
    <tableColumn id="2" xr3:uid="{750AFC7F-90CB-4E46-99CC-518796E8E5F2}" name="coin 1 "/>
    <tableColumn id="3" xr3:uid="{65276E51-3765-479B-9300-853A0B6B8A1D}" name="coin 2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41571F-601E-471F-88C7-B4E87E765B78}" name="Table2" displayName="Table2" ref="A1:E87" totalsRowShown="0" headerRowDxfId="27" dataDxfId="25" headerRowBorderDxfId="26" tableBorderDxfId="24">
  <autoFilter ref="A1:E87" xr:uid="{5B41571F-601E-471F-88C7-B4E87E765B78}"/>
  <tableColumns count="5">
    <tableColumn id="1" xr3:uid="{A4B87771-B59A-4D8F-A92C-EAB1FDF1330F}" name="Coin Name" dataDxfId="23"/>
    <tableColumn id="2" xr3:uid="{718EB5D8-7C33-4BC6-9866-57F124C7CE6B}" name="Price (USD)" dataDxfId="22"/>
    <tableColumn id="3" xr3:uid="{8F1F2A7E-7682-4946-A1BD-EAE952E378DF}" name="Volume (24h) USD" dataDxfId="21"/>
    <tableColumn id="4" xr3:uid="{7ECAB14C-E131-48B2-A820-3E8B2F5F361F}" name="volume num" dataDxfId="20"/>
    <tableColumn id="5" xr3:uid="{AA36339D-1D56-4ABF-A280-DCA4F6B47E8C}" name="price range">
      <calculatedColumnFormula>IF(VALUE(SUBSTITUTE(B2,"$",""))&lt;=50,"$0-$50","&gt; $50")</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01"/>
  <sheetViews>
    <sheetView tabSelected="1" workbookViewId="0">
      <selection activeCell="D10" sqref="D10:D201"/>
    </sheetView>
  </sheetViews>
  <sheetFormatPr defaultRowHeight="14.5" x14ac:dyDescent="0.35"/>
  <cols>
    <col min="1" max="1" width="15.1796875" customWidth="1"/>
    <col min="2" max="2" width="12.6328125" customWidth="1"/>
    <col min="3" max="3" width="16.36328125" customWidth="1"/>
    <col min="4" max="4" width="19" customWidth="1"/>
    <col min="5" max="5" width="17.08984375" customWidth="1"/>
    <col min="6" max="6" width="22.08984375" customWidth="1"/>
    <col min="7" max="7" width="19.36328125" customWidth="1"/>
    <col min="8" max="8" width="20.453125" customWidth="1"/>
    <col min="9" max="9" width="19.6328125" customWidth="1"/>
    <col min="10" max="10" width="16.90625" customWidth="1"/>
    <col min="11" max="11" width="19.54296875" customWidth="1"/>
    <col min="12" max="12" width="16.90625" customWidth="1"/>
    <col min="13" max="13" width="15.81640625" customWidth="1"/>
    <col min="14" max="14" width="19.1796875" customWidth="1"/>
    <col min="15" max="15" width="14.26953125" customWidth="1"/>
    <col min="16" max="16" width="18" customWidth="1"/>
    <col min="17" max="17" width="21.1796875" customWidth="1"/>
    <col min="18" max="18" width="25.08984375" customWidth="1"/>
    <col min="19" max="19" width="22.26953125" customWidth="1"/>
  </cols>
  <sheetData>
    <row r="1" spans="1:19" x14ac:dyDescent="0.35">
      <c r="A1" s="1" t="s">
        <v>0</v>
      </c>
      <c r="B1" s="1" t="s">
        <v>1</v>
      </c>
      <c r="C1" s="1" t="s">
        <v>2</v>
      </c>
      <c r="D1" s="1" t="s">
        <v>3</v>
      </c>
      <c r="E1" s="1" t="s">
        <v>1172</v>
      </c>
      <c r="F1" s="1" t="s">
        <v>1173</v>
      </c>
      <c r="G1" s="1" t="s">
        <v>1174</v>
      </c>
      <c r="H1" s="1" t="s">
        <v>4</v>
      </c>
      <c r="I1" s="1" t="s">
        <v>5</v>
      </c>
      <c r="J1" s="1" t="s">
        <v>1139</v>
      </c>
      <c r="K1" s="1" t="s">
        <v>6</v>
      </c>
      <c r="L1" s="1" t="s">
        <v>1138</v>
      </c>
      <c r="M1" s="1" t="s">
        <v>1166</v>
      </c>
      <c r="N1" s="1" t="s">
        <v>1167</v>
      </c>
      <c r="O1" s="1" t="s">
        <v>1157</v>
      </c>
      <c r="P1" s="1" t="s">
        <v>1168</v>
      </c>
      <c r="Q1" s="1" t="s">
        <v>1178</v>
      </c>
      <c r="R1" s="1" t="s">
        <v>1185</v>
      </c>
      <c r="S1" s="1" t="s">
        <v>1182</v>
      </c>
    </row>
    <row r="2" spans="1:19" x14ac:dyDescent="0.35">
      <c r="A2" s="43" t="s">
        <v>7</v>
      </c>
      <c r="B2" s="43" t="s">
        <v>207</v>
      </c>
      <c r="C2" s="43" t="s">
        <v>392</v>
      </c>
      <c r="D2" s="44">
        <v>2.3999999999999998E-3</v>
      </c>
      <c r="E2" s="44">
        <f>D2</f>
        <v>2.3999999999999998E-3</v>
      </c>
      <c r="F2" s="43">
        <f t="shared" ref="F2:F33" si="0">-D2</f>
        <v>-2.3999999999999998E-3</v>
      </c>
      <c r="G2" s="43">
        <f t="shared" ref="G2:G33" si="1">D2</f>
        <v>2.3999999999999998E-3</v>
      </c>
      <c r="H2" s="43" t="s">
        <v>592</v>
      </c>
      <c r="I2" s="43" t="s">
        <v>752</v>
      </c>
      <c r="J2" s="43">
        <f>IFERROR(VALUE(SUBSTITUTE(SUBSTITUTE(Table1[[#This Row],[Volume (24h) USD]],"$",""),",","")),0)</f>
        <v>43170391288</v>
      </c>
      <c r="K2" s="43" t="s">
        <v>946</v>
      </c>
      <c r="L2" s="43" t="str">
        <f>IF(OR(LEFT(Table1[[#This Row],[Coin Name]],1)="A",LEFT(Table1[[#This Row],[Coin Name]],1)="E",LEFT(Table1[[#This Row],[Coin Name]],1)="I",LEFT(Table1[[#This Row],[Coin Name]],1)="O",LEFT(Table1[[#This Row],[Coin Name]],1)="U",LEFT(Table1[[#This Row],[Coin Name]],1)="B",LEFT(Table1[[#This Row],[Coin Name]],1)="C",LEFT(Table1[[#This Row],[Coin Name]],1)="D"),"Yes","No")</f>
        <v>Yes</v>
      </c>
      <c r="M2" s="43">
        <f t="shared" ref="M2:M33" si="2">VALUE(SUBSTITUTE(C2,"$",""))</f>
        <v>104058.04</v>
      </c>
      <c r="N2" s="43">
        <f t="shared" ref="N2:N33" si="3">M2/(1+D2)</f>
        <v>103808.89864325618</v>
      </c>
      <c r="O2" s="43" t="str">
        <f>IF(M2&lt;10,"Up to $10","&gt;= $10")</f>
        <v>&gt;= $10</v>
      </c>
      <c r="P2" s="43">
        <f t="shared" ref="P2:P33" si="4">M2-N2</f>
        <v>249.14135674381396</v>
      </c>
      <c r="Q2" s="43">
        <f t="shared" ref="Q2:Q33" si="5">F2</f>
        <v>-2.3999999999999998E-3</v>
      </c>
      <c r="R2" s="43" t="str">
        <f t="shared" ref="R2:R33" si="6">IF(M2&lt;=5,"$0-$5","&gt;$5")</f>
        <v>&gt;$5</v>
      </c>
      <c r="S2" s="45" t="str">
        <f>IF(M2&lt;=0.05,"$0-$0.05",IF(M2&lt;=0.5,"$0.05-$0.5",IF(M2&lt;=5,"$0.5-$5",IF(M2&lt;=50,"$5-$50","&gt;$50"))))</f>
        <v>&gt;$50</v>
      </c>
    </row>
    <row r="3" spans="1:19" x14ac:dyDescent="0.35">
      <c r="A3" s="43" t="s">
        <v>8</v>
      </c>
      <c r="B3" s="43" t="s">
        <v>208</v>
      </c>
      <c r="C3" s="43" t="s">
        <v>393</v>
      </c>
      <c r="D3" s="44">
        <v>7.6E-3</v>
      </c>
      <c r="E3" s="43">
        <f>D3</f>
        <v>7.6E-3</v>
      </c>
      <c r="F3" s="43">
        <f t="shared" si="0"/>
        <v>-7.6E-3</v>
      </c>
      <c r="G3" s="43">
        <f t="shared" si="1"/>
        <v>7.6E-3</v>
      </c>
      <c r="H3" s="43" t="s">
        <v>593</v>
      </c>
      <c r="I3" s="43" t="s">
        <v>753</v>
      </c>
      <c r="J3" s="43">
        <f>IFERROR(VALUE(SUBSTITUTE(SUBSTITUTE(Table1[[#This Row],[Volume (24h) USD]],"$",""),",","")),0)</f>
        <v>14942260356</v>
      </c>
      <c r="K3" s="43" t="s">
        <v>947</v>
      </c>
      <c r="L3" s="43" t="str">
        <f>IF(OR(LEFT(Table1[[#This Row],[Coin Name]],1)="A",LEFT(Table1[[#This Row],[Coin Name]],1)="E",LEFT(Table1[[#This Row],[Coin Name]],1)="I",LEFT(Table1[[#This Row],[Coin Name]],1)="O",LEFT(Table1[[#This Row],[Coin Name]],1)="U",LEFT(Table1[[#This Row],[Coin Name]],1)="B",LEFT(Table1[[#This Row],[Coin Name]],1)="C",LEFT(Table1[[#This Row],[Coin Name]],1)="D"),"Yes","No")</f>
        <v>Yes</v>
      </c>
      <c r="M3" s="43">
        <f t="shared" si="2"/>
        <v>2483.59</v>
      </c>
      <c r="N3" s="43">
        <f t="shared" si="3"/>
        <v>2464.8570861452959</v>
      </c>
      <c r="O3" s="43" t="str">
        <f t="shared" ref="O3:O33" si="7">IF(M3&lt;10,"Up to $10","&gt;= $10")</f>
        <v>&gt;= $10</v>
      </c>
      <c r="P3" s="43">
        <f t="shared" si="4"/>
        <v>18.732913854704293</v>
      </c>
      <c r="Q3" s="43">
        <f t="shared" si="5"/>
        <v>-7.6E-3</v>
      </c>
      <c r="R3" s="43" t="str">
        <f t="shared" si="6"/>
        <v>&gt;$5</v>
      </c>
      <c r="S3" s="45" t="str">
        <f>IF(M3&lt;=0.05,"$0-$0.05",IF(M3&lt;=0.5,"$0.05-$0.5",IF(M3&lt;=5,"$0.5-$5",IF(M3&lt;=50,"$5-$50","&gt;$50"))))</f>
        <v>&gt;$50</v>
      </c>
    </row>
    <row r="4" spans="1:19" x14ac:dyDescent="0.35">
      <c r="A4" s="43" t="s">
        <v>9</v>
      </c>
      <c r="B4" s="43" t="s">
        <v>209</v>
      </c>
      <c r="C4" s="43" t="s">
        <v>394</v>
      </c>
      <c r="D4" s="44">
        <v>4.0000000000000002E-4</v>
      </c>
      <c r="E4" s="43">
        <f>D4</f>
        <v>4.0000000000000002E-4</v>
      </c>
      <c r="F4" s="43">
        <f t="shared" si="0"/>
        <v>-4.0000000000000002E-4</v>
      </c>
      <c r="G4" s="43">
        <f t="shared" si="1"/>
        <v>4.0000000000000002E-4</v>
      </c>
      <c r="H4" s="43" t="s">
        <v>594</v>
      </c>
      <c r="I4" s="43" t="s">
        <v>754</v>
      </c>
      <c r="J4" s="43">
        <f>IFERROR(VALUE(SUBSTITUTE(SUBSTITUTE(Table1[[#This Row],[Volume (24h) USD]],"$",""),",","")),0)</f>
        <v>60772601456</v>
      </c>
      <c r="K4" s="43" t="s">
        <v>948</v>
      </c>
      <c r="L4" s="43" t="str">
        <f>IF(OR(LEFT(Table1[[#This Row],[Coin Name]],1)="A",LEFT(Table1[[#This Row],[Coin Name]],1)="E",LEFT(Table1[[#This Row],[Coin Name]],1)="I",LEFT(Table1[[#This Row],[Coin Name]],1)="O",LEFT(Table1[[#This Row],[Coin Name]],1)="U",LEFT(Table1[[#This Row],[Coin Name]],1)="B",LEFT(Table1[[#This Row],[Coin Name]],1)="C",LEFT(Table1[[#This Row],[Coin Name]],1)="D"),"Yes","No")</f>
        <v>No</v>
      </c>
      <c r="M4" s="43">
        <f t="shared" si="2"/>
        <v>0.99990000000000001</v>
      </c>
      <c r="N4" s="43">
        <f t="shared" si="3"/>
        <v>0.99950019992003203</v>
      </c>
      <c r="O4" s="43" t="str">
        <f t="shared" si="7"/>
        <v>Up to $10</v>
      </c>
      <c r="P4" s="43">
        <f t="shared" si="4"/>
        <v>3.9980007996798239E-4</v>
      </c>
      <c r="Q4" s="43">
        <f t="shared" si="5"/>
        <v>-4.0000000000000002E-4</v>
      </c>
      <c r="R4" s="43" t="str">
        <f t="shared" si="6"/>
        <v>$0-$5</v>
      </c>
      <c r="S4" s="45" t="str">
        <f t="shared" ref="S2:S33" si="8">IF(C4&lt;=0.05,"$0-$0.05",
IF(C4&lt;=0.5,"$0.05-$0.5",
IF(C4&lt;=5,"$0.5-$5",
IF(C4&lt;=50,"$5-$50","&gt;$50"))))</f>
        <v>&gt;$50</v>
      </c>
    </row>
    <row r="5" spans="1:19" x14ac:dyDescent="0.35">
      <c r="A5" s="43" t="s">
        <v>10</v>
      </c>
      <c r="B5" s="43" t="s">
        <v>10</v>
      </c>
      <c r="C5" s="43" t="s">
        <v>395</v>
      </c>
      <c r="D5" s="44">
        <v>5.4999999999999997E-3</v>
      </c>
      <c r="E5" s="43">
        <f>D5</f>
        <v>5.4999999999999997E-3</v>
      </c>
      <c r="F5" s="43">
        <f t="shared" si="0"/>
        <v>-5.4999999999999997E-3</v>
      </c>
      <c r="G5" s="43">
        <f t="shared" si="1"/>
        <v>5.4999999999999997E-3</v>
      </c>
      <c r="H5" s="43" t="s">
        <v>595</v>
      </c>
      <c r="I5" s="43" t="s">
        <v>755</v>
      </c>
      <c r="J5" s="43">
        <f>IFERROR(VALUE(SUBSTITUTE(SUBSTITUTE(Table1[[#This Row],[Volume (24h) USD]],"$",""),",","")),0)</f>
        <v>2046333328</v>
      </c>
      <c r="K5" s="43" t="s">
        <v>949</v>
      </c>
      <c r="L5" s="43" t="str">
        <f>IF(OR(LEFT(Table1[[#This Row],[Coin Name]],1)="A",LEFT(Table1[[#This Row],[Coin Name]],1)="E",LEFT(Table1[[#This Row],[Coin Name]],1)="I",LEFT(Table1[[#This Row],[Coin Name]],1)="O",LEFT(Table1[[#This Row],[Coin Name]],1)="U",LEFT(Table1[[#This Row],[Coin Name]],1)="B",LEFT(Table1[[#This Row],[Coin Name]],1)="C",LEFT(Table1[[#This Row],[Coin Name]],1)="D"),"Yes","No")</f>
        <v>No</v>
      </c>
      <c r="M5" s="43">
        <f t="shared" si="2"/>
        <v>2.12</v>
      </c>
      <c r="N5" s="43">
        <f t="shared" si="3"/>
        <v>2.1084037792143211</v>
      </c>
      <c r="O5" s="43" t="str">
        <f t="shared" si="7"/>
        <v>Up to $10</v>
      </c>
      <c r="P5" s="43">
        <f t="shared" si="4"/>
        <v>1.1596220785679012E-2</v>
      </c>
      <c r="Q5" s="43">
        <f t="shared" si="5"/>
        <v>-5.4999999999999997E-3</v>
      </c>
      <c r="R5" s="43" t="str">
        <f t="shared" si="6"/>
        <v>$0-$5</v>
      </c>
      <c r="S5" s="45" t="str">
        <f t="shared" si="8"/>
        <v>&gt;$50</v>
      </c>
    </row>
    <row r="6" spans="1:19" x14ac:dyDescent="0.35">
      <c r="A6" s="43" t="s">
        <v>13</v>
      </c>
      <c r="B6" s="43" t="s">
        <v>13</v>
      </c>
      <c r="C6" s="43" t="s">
        <v>398</v>
      </c>
      <c r="D6" s="44">
        <v>2.9999999999999997E-4</v>
      </c>
      <c r="E6" s="44">
        <f>D6</f>
        <v>2.9999999999999997E-4</v>
      </c>
      <c r="F6" s="43">
        <f t="shared" si="0"/>
        <v>-2.9999999999999997E-4</v>
      </c>
      <c r="G6" s="43">
        <f t="shared" si="1"/>
        <v>2.9999999999999997E-4</v>
      </c>
      <c r="H6" s="43" t="s">
        <v>598</v>
      </c>
      <c r="I6" s="43" t="s">
        <v>758</v>
      </c>
      <c r="J6" s="43">
        <f>IFERROR(VALUE(SUBSTITUTE(SUBSTITUTE(Table1[[#This Row],[Volume (24h) USD]],"$",""),",","")),0)</f>
        <v>8208315257</v>
      </c>
      <c r="K6" s="43" t="s">
        <v>952</v>
      </c>
      <c r="L6" s="43" t="str">
        <f>IF(OR(LEFT(Table1[[#This Row],[Coin Name]],1)="A",LEFT(Table1[[#This Row],[Coin Name]],1)="E",LEFT(Table1[[#This Row],[Coin Name]],1)="I",LEFT(Table1[[#This Row],[Coin Name]],1)="O",LEFT(Table1[[#This Row],[Coin Name]],1)="U",LEFT(Table1[[#This Row],[Coin Name]],1)="B",LEFT(Table1[[#This Row],[Coin Name]],1)="C",LEFT(Table1[[#This Row],[Coin Name]],1)="D"),"Yes","No")</f>
        <v>Yes</v>
      </c>
      <c r="M6" s="43">
        <f t="shared" si="2"/>
        <v>0.99980000000000002</v>
      </c>
      <c r="N6" s="43">
        <f t="shared" si="3"/>
        <v>0.99950014995501357</v>
      </c>
      <c r="O6" s="43" t="str">
        <f t="shared" si="7"/>
        <v>Up to $10</v>
      </c>
      <c r="P6" s="43">
        <f t="shared" si="4"/>
        <v>2.998500449864494E-4</v>
      </c>
      <c r="Q6" s="43">
        <f t="shared" si="5"/>
        <v>-2.9999999999999997E-4</v>
      </c>
      <c r="R6" s="43" t="str">
        <f t="shared" si="6"/>
        <v>$0-$5</v>
      </c>
      <c r="S6" s="45" t="str">
        <f>IF(M6&lt;=0.05,"$0-$0.05",IF(M6&lt;=0.5,"$0.05-$0.5",IF(M6&lt;=5,"$0.5-$5",IF(M6&lt;=50,"$5-$50","&gt;$50"))))</f>
        <v>$0.5-$5</v>
      </c>
    </row>
    <row r="7" spans="1:19" x14ac:dyDescent="0.35">
      <c r="A7" s="43" t="s">
        <v>12</v>
      </c>
      <c r="B7" s="43" t="s">
        <v>210</v>
      </c>
      <c r="C7" s="43" t="s">
        <v>397</v>
      </c>
      <c r="D7" s="44">
        <v>9.9000000000000008E-3</v>
      </c>
      <c r="E7" s="43">
        <f>D7</f>
        <v>9.9000000000000008E-3</v>
      </c>
      <c r="F7" s="43">
        <f t="shared" si="0"/>
        <v>-9.9000000000000008E-3</v>
      </c>
      <c r="G7" s="43">
        <f t="shared" si="1"/>
        <v>9.9000000000000008E-3</v>
      </c>
      <c r="H7" s="43" t="s">
        <v>597</v>
      </c>
      <c r="I7" s="43" t="s">
        <v>757</v>
      </c>
      <c r="J7" s="43">
        <f>IFERROR(VALUE(SUBSTITUTE(SUBSTITUTE(Table1[[#This Row],[Volume (24h) USD]],"$",""),",","")),0)</f>
        <v>2904341748</v>
      </c>
      <c r="K7" s="43" t="s">
        <v>951</v>
      </c>
      <c r="L7" s="43" t="str">
        <f>IF(OR(LEFT(Table1[[#This Row],[Coin Name]],1)="A",LEFT(Table1[[#This Row],[Coin Name]],1)="E",LEFT(Table1[[#This Row],[Coin Name]],1)="I",LEFT(Table1[[#This Row],[Coin Name]],1)="O",LEFT(Table1[[#This Row],[Coin Name]],1)="U",LEFT(Table1[[#This Row],[Coin Name]],1)="B",LEFT(Table1[[#This Row],[Coin Name]],1)="C",LEFT(Table1[[#This Row],[Coin Name]],1)="D"),"Yes","No")</f>
        <v>No</v>
      </c>
      <c r="M7" s="43">
        <f t="shared" si="2"/>
        <v>142.66999999999999</v>
      </c>
      <c r="N7" s="43">
        <f t="shared" si="3"/>
        <v>141.27141301118922</v>
      </c>
      <c r="O7" s="43" t="str">
        <f t="shared" si="7"/>
        <v>&gt;= $10</v>
      </c>
      <c r="P7" s="43">
        <f t="shared" si="4"/>
        <v>1.3985869888107629</v>
      </c>
      <c r="Q7" s="43">
        <f t="shared" si="5"/>
        <v>-9.9000000000000008E-3</v>
      </c>
      <c r="R7" s="43" t="str">
        <f t="shared" si="6"/>
        <v>&gt;$5</v>
      </c>
      <c r="S7" s="45" t="str">
        <f t="shared" si="8"/>
        <v>&gt;$50</v>
      </c>
    </row>
    <row r="8" spans="1:19" x14ac:dyDescent="0.35">
      <c r="A8" s="43" t="s">
        <v>11</v>
      </c>
      <c r="B8" s="43" t="s">
        <v>11</v>
      </c>
      <c r="C8" s="43" t="s">
        <v>396</v>
      </c>
      <c r="D8" s="44">
        <v>1E-3</v>
      </c>
      <c r="E8" s="43">
        <f>D8</f>
        <v>1E-3</v>
      </c>
      <c r="F8" s="43">
        <f t="shared" si="0"/>
        <v>-1E-3</v>
      </c>
      <c r="G8" s="43">
        <f t="shared" si="1"/>
        <v>1E-3</v>
      </c>
      <c r="H8" s="43" t="s">
        <v>596</v>
      </c>
      <c r="I8" s="43" t="s">
        <v>756</v>
      </c>
      <c r="J8" s="43">
        <f>IFERROR(VALUE(SUBSTITUTE(SUBSTITUTE(Table1[[#This Row],[Volume (24h) USD]],"$",""),",","")),0)</f>
        <v>1497928447</v>
      </c>
      <c r="K8" s="43" t="s">
        <v>950</v>
      </c>
      <c r="L8" s="43" t="str">
        <f>IF(OR(LEFT(Table1[[#This Row],[Coin Name]],1)="A",LEFT(Table1[[#This Row],[Coin Name]],1)="E",LEFT(Table1[[#This Row],[Coin Name]],1)="I",LEFT(Table1[[#This Row],[Coin Name]],1)="O",LEFT(Table1[[#This Row],[Coin Name]],1)="U",LEFT(Table1[[#This Row],[Coin Name]],1)="B",LEFT(Table1[[#This Row],[Coin Name]],1)="C",LEFT(Table1[[#This Row],[Coin Name]],1)="D"),"Yes","No")</f>
        <v>Yes</v>
      </c>
      <c r="M8" s="43">
        <f t="shared" si="2"/>
        <v>644.79</v>
      </c>
      <c r="N8" s="43">
        <f t="shared" si="3"/>
        <v>644.14585414585417</v>
      </c>
      <c r="O8" s="43" t="str">
        <f t="shared" si="7"/>
        <v>&gt;= $10</v>
      </c>
      <c r="P8" s="43">
        <f t="shared" si="4"/>
        <v>0.64414585414579051</v>
      </c>
      <c r="Q8" s="43">
        <f t="shared" si="5"/>
        <v>-1E-3</v>
      </c>
      <c r="R8" s="43" t="str">
        <f t="shared" si="6"/>
        <v>&gt;$5</v>
      </c>
      <c r="S8" s="45" t="str">
        <f>IF(M8&lt;=0.05,"$0-$0.05",IF(M8&lt;=0.5,"$0.05-$0.5",IF(M8&lt;=5,"$0.5-$5",IF(M8&lt;=50,"$5-$50","&gt;$50"))))</f>
        <v>&gt;$50</v>
      </c>
    </row>
    <row r="9" spans="1:19" x14ac:dyDescent="0.35">
      <c r="A9" s="43" t="s">
        <v>14</v>
      </c>
      <c r="B9" s="43" t="s">
        <v>211</v>
      </c>
      <c r="C9" s="43" t="s">
        <v>399</v>
      </c>
      <c r="D9" s="44">
        <v>3.5999999999999999E-3</v>
      </c>
      <c r="E9" s="43">
        <f>D9</f>
        <v>3.5999999999999999E-3</v>
      </c>
      <c r="F9" s="43">
        <f t="shared" si="0"/>
        <v>-3.5999999999999999E-3</v>
      </c>
      <c r="G9" s="43">
        <f t="shared" si="1"/>
        <v>3.5999999999999999E-3</v>
      </c>
      <c r="H9" s="43" t="s">
        <v>599</v>
      </c>
      <c r="I9" s="43" t="s">
        <v>759</v>
      </c>
      <c r="J9" s="43">
        <f>IFERROR(VALUE(SUBSTITUTE(SUBSTITUTE(Table1[[#This Row],[Volume (24h) USD]],"$",""),",","")),0)</f>
        <v>445406337</v>
      </c>
      <c r="K9" s="43" t="s">
        <v>953</v>
      </c>
      <c r="L9" s="43" t="str">
        <f>IF(OR(LEFT(Table1[[#This Row],[Coin Name]],1)="A",LEFT(Table1[[#This Row],[Coin Name]],1)="E",LEFT(Table1[[#This Row],[Coin Name]],1)="I",LEFT(Table1[[#This Row],[Coin Name]],1)="O",LEFT(Table1[[#This Row],[Coin Name]],1)="U",LEFT(Table1[[#This Row],[Coin Name]],1)="B",LEFT(Table1[[#This Row],[Coin Name]],1)="C",LEFT(Table1[[#This Row],[Coin Name]],1)="D"),"Yes","No")</f>
        <v>No</v>
      </c>
      <c r="M9" s="43">
        <f t="shared" si="2"/>
        <v>0.27339999999999998</v>
      </c>
      <c r="N9" s="43">
        <f t="shared" si="3"/>
        <v>0.27241929055400554</v>
      </c>
      <c r="O9" s="43" t="str">
        <f t="shared" si="7"/>
        <v>Up to $10</v>
      </c>
      <c r="P9" s="43">
        <f t="shared" si="4"/>
        <v>9.8070944599443211E-4</v>
      </c>
      <c r="Q9" s="43">
        <f t="shared" si="5"/>
        <v>-3.5999999999999999E-3</v>
      </c>
      <c r="R9" s="43" t="str">
        <f t="shared" si="6"/>
        <v>$0-$5</v>
      </c>
      <c r="S9" s="45" t="str">
        <f t="shared" si="8"/>
        <v>&gt;$50</v>
      </c>
    </row>
    <row r="10" spans="1:19" x14ac:dyDescent="0.35">
      <c r="A10" s="43" t="s">
        <v>15</v>
      </c>
      <c r="B10" s="43" t="s">
        <v>212</v>
      </c>
      <c r="C10" s="43" t="s">
        <v>400</v>
      </c>
      <c r="D10" s="44">
        <v>9.4000000000000004E-3</v>
      </c>
      <c r="E10" s="43">
        <f>D10</f>
        <v>9.4000000000000004E-3</v>
      </c>
      <c r="F10" s="43">
        <f t="shared" si="0"/>
        <v>-9.4000000000000004E-3</v>
      </c>
      <c r="G10" s="43">
        <f t="shared" si="1"/>
        <v>9.4000000000000004E-3</v>
      </c>
      <c r="H10" s="43" t="s">
        <v>600</v>
      </c>
      <c r="I10" s="43" t="s">
        <v>760</v>
      </c>
      <c r="J10" s="43">
        <f>IFERROR(VALUE(SUBSTITUTE(SUBSTITUTE(Table1[[#This Row],[Volume (24h) USD]],"$",""),",","")),0)</f>
        <v>781433558</v>
      </c>
      <c r="K10" s="43" t="s">
        <v>954</v>
      </c>
      <c r="L10" s="43" t="str">
        <f>IF(OR(LEFT(Table1[[#This Row],[Coin Name]],1)="A",LEFT(Table1[[#This Row],[Coin Name]],1)="E",LEFT(Table1[[#This Row],[Coin Name]],1)="I",LEFT(Table1[[#This Row],[Coin Name]],1)="O",LEFT(Table1[[#This Row],[Coin Name]],1)="U",LEFT(Table1[[#This Row],[Coin Name]],1)="B",LEFT(Table1[[#This Row],[Coin Name]],1)="C",LEFT(Table1[[#This Row],[Coin Name]],1)="D"),"Yes","No")</f>
        <v>Yes</v>
      </c>
      <c r="M10" s="43">
        <f t="shared" si="2"/>
        <v>0.16539999999999999</v>
      </c>
      <c r="N10" s="43">
        <f t="shared" si="3"/>
        <v>0.16385971864473942</v>
      </c>
      <c r="O10" s="43" t="str">
        <f t="shared" si="7"/>
        <v>Up to $10</v>
      </c>
      <c r="P10" s="43">
        <f t="shared" si="4"/>
        <v>1.5402813552605754E-3</v>
      </c>
      <c r="Q10" s="43">
        <f t="shared" si="5"/>
        <v>-9.4000000000000004E-3</v>
      </c>
      <c r="R10" s="43" t="str">
        <f t="shared" si="6"/>
        <v>$0-$5</v>
      </c>
      <c r="S10" s="45" t="str">
        <f t="shared" ref="S10:S11" si="9">IF(M10&lt;=0.05,"$0-$0.05",IF(M10&lt;=0.5,"$0.05-$0.5",IF(M10&lt;=5,"$0.5-$5",IF(M10&lt;=50,"$5-$50","&gt;$50"))))</f>
        <v>$0.05-$0.5</v>
      </c>
    </row>
    <row r="11" spans="1:19" x14ac:dyDescent="0.35">
      <c r="A11" s="43" t="s">
        <v>16</v>
      </c>
      <c r="B11" s="43" t="s">
        <v>213</v>
      </c>
      <c r="C11" s="43" t="s">
        <v>401</v>
      </c>
      <c r="D11" s="44">
        <v>9.5999999999999992E-3</v>
      </c>
      <c r="E11" s="43">
        <f>D11</f>
        <v>9.5999999999999992E-3</v>
      </c>
      <c r="F11" s="43">
        <f t="shared" si="0"/>
        <v>-9.5999999999999992E-3</v>
      </c>
      <c r="G11" s="43">
        <f t="shared" si="1"/>
        <v>9.5999999999999992E-3</v>
      </c>
      <c r="H11" s="43" t="s">
        <v>601</v>
      </c>
      <c r="I11" s="43" t="s">
        <v>761</v>
      </c>
      <c r="J11" s="43">
        <f>IFERROR(VALUE(SUBSTITUTE(SUBSTITUTE(Table1[[#This Row],[Volume (24h) USD]],"$",""),",","")),0)</f>
        <v>539447597</v>
      </c>
      <c r="K11" s="43" t="s">
        <v>955</v>
      </c>
      <c r="L11" s="43" t="str">
        <f>IF(OR(LEFT(Table1[[#This Row],[Coin Name]],1)="A",LEFT(Table1[[#This Row],[Coin Name]],1)="E",LEFT(Table1[[#This Row],[Coin Name]],1)="I",LEFT(Table1[[#This Row],[Coin Name]],1)="O",LEFT(Table1[[#This Row],[Coin Name]],1)="U",LEFT(Table1[[#This Row],[Coin Name]],1)="B",LEFT(Table1[[#This Row],[Coin Name]],1)="C",LEFT(Table1[[#This Row],[Coin Name]],1)="D"),"Yes","No")</f>
        <v>Yes</v>
      </c>
      <c r="M11" s="43">
        <f t="shared" si="2"/>
        <v>0.58079999999999998</v>
      </c>
      <c r="N11" s="43">
        <f t="shared" si="3"/>
        <v>0.57527733755942945</v>
      </c>
      <c r="O11" s="43" t="str">
        <f t="shared" si="7"/>
        <v>Up to $10</v>
      </c>
      <c r="P11" s="43">
        <f t="shared" si="4"/>
        <v>5.522662440570536E-3</v>
      </c>
      <c r="Q11" s="43">
        <f t="shared" si="5"/>
        <v>-9.5999999999999992E-3</v>
      </c>
      <c r="R11" s="43" t="str">
        <f t="shared" si="6"/>
        <v>$0-$5</v>
      </c>
      <c r="S11" s="45" t="str">
        <f t="shared" si="9"/>
        <v>$0.5-$5</v>
      </c>
    </row>
    <row r="12" spans="1:19" x14ac:dyDescent="0.35">
      <c r="A12" s="43" t="s">
        <v>17</v>
      </c>
      <c r="B12" s="43" t="s">
        <v>214</v>
      </c>
      <c r="C12" s="43" t="s">
        <v>402</v>
      </c>
      <c r="D12" s="44">
        <v>1.4E-2</v>
      </c>
      <c r="E12" s="43">
        <f>D12</f>
        <v>1.4E-2</v>
      </c>
      <c r="F12" s="43">
        <f t="shared" si="0"/>
        <v>-1.4E-2</v>
      </c>
      <c r="G12" s="43">
        <f t="shared" si="1"/>
        <v>1.4E-2</v>
      </c>
      <c r="H12" s="43" t="s">
        <v>602</v>
      </c>
      <c r="I12" s="43" t="s">
        <v>762</v>
      </c>
      <c r="J12" s="43">
        <f>IFERROR(VALUE(SUBSTITUTE(SUBSTITUTE(Table1[[#This Row],[Volume (24h) USD]],"$",""),",","")),0)</f>
        <v>60468868</v>
      </c>
      <c r="K12" s="43" t="s">
        <v>956</v>
      </c>
      <c r="L12" s="43" t="str">
        <f>IF(OR(LEFT(Table1[[#This Row],[Coin Name]],1)="A",LEFT(Table1[[#This Row],[Coin Name]],1)="E",LEFT(Table1[[#This Row],[Coin Name]],1)="I",LEFT(Table1[[#This Row],[Coin Name]],1)="O",LEFT(Table1[[#This Row],[Coin Name]],1)="U",LEFT(Table1[[#This Row],[Coin Name]],1)="B",LEFT(Table1[[#This Row],[Coin Name]],1)="C",LEFT(Table1[[#This Row],[Coin Name]],1)="D"),"Yes","No")</f>
        <v>No</v>
      </c>
      <c r="M12" s="43">
        <f t="shared" si="2"/>
        <v>9.0959999999999999E-3</v>
      </c>
      <c r="N12" s="43">
        <f t="shared" si="3"/>
        <v>8.9704142011834322E-3</v>
      </c>
      <c r="O12" s="43" t="str">
        <f t="shared" si="7"/>
        <v>Up to $10</v>
      </c>
      <c r="P12" s="43">
        <f t="shared" si="4"/>
        <v>1.2558579881656769E-4</v>
      </c>
      <c r="Q12" s="43">
        <f t="shared" si="5"/>
        <v>-1.4E-2</v>
      </c>
      <c r="R12" s="43" t="str">
        <f t="shared" si="6"/>
        <v>$0-$5</v>
      </c>
      <c r="S12" s="45" t="str">
        <f t="shared" si="8"/>
        <v>&gt;$50</v>
      </c>
    </row>
    <row r="13" spans="1:19" x14ac:dyDescent="0.35">
      <c r="A13" s="43" t="s">
        <v>18</v>
      </c>
      <c r="B13" s="43" t="s">
        <v>215</v>
      </c>
      <c r="C13" s="43" t="s">
        <v>403</v>
      </c>
      <c r="D13" s="44">
        <v>1.5699999999999999E-2</v>
      </c>
      <c r="E13" s="43">
        <f>D13</f>
        <v>1.5699999999999999E-2</v>
      </c>
      <c r="F13" s="43">
        <f t="shared" si="0"/>
        <v>-1.5699999999999999E-2</v>
      </c>
      <c r="G13" s="43">
        <f t="shared" si="1"/>
        <v>1.5699999999999999E-2</v>
      </c>
      <c r="H13" s="43" t="s">
        <v>603</v>
      </c>
      <c r="I13" s="43" t="s">
        <v>763</v>
      </c>
      <c r="J13" s="43">
        <f>IFERROR(VALUE(SUBSTITUTE(SUBSTITUTE(Table1[[#This Row],[Volume (24h) USD]],"$",""),",","")),0)</f>
        <v>22854744</v>
      </c>
      <c r="K13" s="43" t="s">
        <v>957</v>
      </c>
      <c r="L13" s="43" t="str">
        <f>IF(OR(LEFT(Table1[[#This Row],[Coin Name]],1)="A",LEFT(Table1[[#This Row],[Coin Name]],1)="E",LEFT(Table1[[#This Row],[Coin Name]],1)="I",LEFT(Table1[[#This Row],[Coin Name]],1)="O",LEFT(Table1[[#This Row],[Coin Name]],1)="U",LEFT(Table1[[#This Row],[Coin Name]],1)="B",LEFT(Table1[[#This Row],[Coin Name]],1)="C",LEFT(Table1[[#This Row],[Coin Name]],1)="D"),"Yes","No")</f>
        <v>No</v>
      </c>
      <c r="M13" s="43">
        <f t="shared" si="2"/>
        <v>0.42049999999999998</v>
      </c>
      <c r="N13" s="43">
        <f t="shared" si="3"/>
        <v>0.41400019690853596</v>
      </c>
      <c r="O13" s="43" t="str">
        <f t="shared" si="7"/>
        <v>Up to $10</v>
      </c>
      <c r="P13" s="43">
        <f t="shared" si="4"/>
        <v>6.4998030914640292E-3</v>
      </c>
      <c r="Q13" s="43">
        <f t="shared" si="5"/>
        <v>-1.5699999999999999E-2</v>
      </c>
      <c r="R13" s="43" t="str">
        <f t="shared" si="6"/>
        <v>$0-$5</v>
      </c>
      <c r="S13" s="45" t="str">
        <f t="shared" si="8"/>
        <v>&gt;$50</v>
      </c>
    </row>
    <row r="14" spans="1:19" x14ac:dyDescent="0.35">
      <c r="A14" s="43" t="s">
        <v>19</v>
      </c>
      <c r="B14" s="43" t="s">
        <v>216</v>
      </c>
      <c r="C14" s="43" t="s">
        <v>404</v>
      </c>
      <c r="D14" s="44">
        <v>1.17E-2</v>
      </c>
      <c r="E14" s="43">
        <f>D14</f>
        <v>1.17E-2</v>
      </c>
      <c r="F14" s="43">
        <f t="shared" si="0"/>
        <v>-1.17E-2</v>
      </c>
      <c r="G14" s="43">
        <f t="shared" si="1"/>
        <v>1.17E-2</v>
      </c>
      <c r="H14" s="43" t="s">
        <v>604</v>
      </c>
      <c r="I14" s="43" t="s">
        <v>764</v>
      </c>
      <c r="J14" s="43">
        <f>IFERROR(VALUE(SUBSTITUTE(SUBSTITUTE(Table1[[#This Row],[Volume (24h) USD]],"$",""),",","")),0)</f>
        <v>110228545</v>
      </c>
      <c r="K14" s="43" t="s">
        <v>958</v>
      </c>
      <c r="L14" s="43" t="str">
        <f>IF(OR(LEFT(Table1[[#This Row],[Coin Name]],1)="A",LEFT(Table1[[#This Row],[Coin Name]],1)="E",LEFT(Table1[[#This Row],[Coin Name]],1)="I",LEFT(Table1[[#This Row],[Coin Name]],1)="O",LEFT(Table1[[#This Row],[Coin Name]],1)="U",LEFT(Table1[[#This Row],[Coin Name]],1)="B",LEFT(Table1[[#This Row],[Coin Name]],1)="C",LEFT(Table1[[#This Row],[Coin Name]],1)="D"),"Yes","No")</f>
        <v>No</v>
      </c>
      <c r="M14" s="43">
        <f t="shared" si="2"/>
        <v>2.06</v>
      </c>
      <c r="N14" s="43">
        <f t="shared" si="3"/>
        <v>2.0361767322328754</v>
      </c>
      <c r="O14" s="43" t="str">
        <f t="shared" si="7"/>
        <v>Up to $10</v>
      </c>
      <c r="P14" s="43">
        <f t="shared" si="4"/>
        <v>2.3823267767124623E-2</v>
      </c>
      <c r="Q14" s="43">
        <f t="shared" si="5"/>
        <v>-1.17E-2</v>
      </c>
      <c r="R14" s="43" t="str">
        <f t="shared" si="6"/>
        <v>$0-$5</v>
      </c>
      <c r="S14" s="45" t="str">
        <f t="shared" si="8"/>
        <v>&gt;$50</v>
      </c>
    </row>
    <row r="15" spans="1:19" x14ac:dyDescent="0.35">
      <c r="A15" s="43" t="s">
        <v>83</v>
      </c>
      <c r="B15" s="43" t="s">
        <v>279</v>
      </c>
      <c r="C15" s="43" t="s">
        <v>468</v>
      </c>
      <c r="D15" s="44">
        <v>4.2700000000000002E-2</v>
      </c>
      <c r="E15" s="43">
        <f>D15</f>
        <v>4.2700000000000002E-2</v>
      </c>
      <c r="F15" s="43">
        <f t="shared" si="0"/>
        <v>-4.2700000000000002E-2</v>
      </c>
      <c r="G15" s="43">
        <f t="shared" si="1"/>
        <v>4.2700000000000002E-2</v>
      </c>
      <c r="H15" s="43" t="s">
        <v>668</v>
      </c>
      <c r="I15" s="43" t="s">
        <v>828</v>
      </c>
      <c r="J15" s="43">
        <f>IFERROR(VALUE(SUBSTITUTE(SUBSTITUTE(Table1[[#This Row],[Volume (24h) USD]],"$",""),",","")),0)</f>
        <v>40860347</v>
      </c>
      <c r="K15" s="43" t="s">
        <v>1022</v>
      </c>
      <c r="L15" s="43" t="str">
        <f>IF(OR(LEFT(Table1[[#This Row],[Coin Name]],1)="A",LEFT(Table1[[#This Row],[Coin Name]],1)="E",LEFT(Table1[[#This Row],[Coin Name]],1)="I",LEFT(Table1[[#This Row],[Coin Name]],1)="O",LEFT(Table1[[#This Row],[Coin Name]],1)="U",LEFT(Table1[[#This Row],[Coin Name]],1)="B",LEFT(Table1[[#This Row],[Coin Name]],1)="C",LEFT(Table1[[#This Row],[Coin Name]],1)="D"),"Yes","No")</f>
        <v>Yes</v>
      </c>
      <c r="M15" s="43">
        <f t="shared" si="2"/>
        <v>8.3759999999999998E-3</v>
      </c>
      <c r="N15" s="43">
        <f t="shared" si="3"/>
        <v>8.032991272657523E-3</v>
      </c>
      <c r="O15" s="43" t="str">
        <f t="shared" si="7"/>
        <v>Up to $10</v>
      </c>
      <c r="P15" s="43">
        <f t="shared" si="4"/>
        <v>3.4300872734247673E-4</v>
      </c>
      <c r="Q15" s="43">
        <f t="shared" si="5"/>
        <v>-4.2700000000000002E-2</v>
      </c>
      <c r="R15" s="43" t="str">
        <f t="shared" si="6"/>
        <v>$0-$5</v>
      </c>
      <c r="S15" s="45" t="str">
        <f>IF(M15&lt;=0.05,"$0-$0.05",IF(M15&lt;=0.5,"$0.05-$0.5",IF(M15&lt;=5,"$0.5-$5",IF(M15&lt;=50,"$5-$50","&gt;$50"))))</f>
        <v>$0-$0.05</v>
      </c>
    </row>
    <row r="16" spans="1:19" x14ac:dyDescent="0.35">
      <c r="A16" s="43" t="s">
        <v>21</v>
      </c>
      <c r="B16" s="43" t="s">
        <v>218</v>
      </c>
      <c r="C16" s="43" t="s">
        <v>406</v>
      </c>
      <c r="D16" s="44">
        <v>6.6E-3</v>
      </c>
      <c r="E16" s="43">
        <f>D16</f>
        <v>6.6E-3</v>
      </c>
      <c r="F16" s="43">
        <f t="shared" si="0"/>
        <v>-6.6E-3</v>
      </c>
      <c r="G16" s="43">
        <f t="shared" si="1"/>
        <v>6.6E-3</v>
      </c>
      <c r="H16" s="43" t="s">
        <v>606</v>
      </c>
      <c r="I16" s="43" t="s">
        <v>766</v>
      </c>
      <c r="J16" s="43">
        <f>IFERROR(VALUE(SUBSTITUTE(SUBSTITUTE(Table1[[#This Row],[Volume (24h) USD]],"$",""),",","")),0)</f>
        <v>14355952</v>
      </c>
      <c r="K16" s="43" t="s">
        <v>960</v>
      </c>
      <c r="L16" s="43" t="str">
        <f>IF(OR(LEFT(Table1[[#This Row],[Coin Name]],1)="A",LEFT(Table1[[#This Row],[Coin Name]],1)="E",LEFT(Table1[[#This Row],[Coin Name]],1)="I",LEFT(Table1[[#This Row],[Coin Name]],1)="O",LEFT(Table1[[#This Row],[Coin Name]],1)="U",LEFT(Table1[[#This Row],[Coin Name]],1)="B",LEFT(Table1[[#This Row],[Coin Name]],1)="C",LEFT(Table1[[#This Row],[Coin Name]],1)="D"),"Yes","No")</f>
        <v>No</v>
      </c>
      <c r="M16" s="43">
        <f t="shared" si="2"/>
        <v>0.52070000000000005</v>
      </c>
      <c r="N16" s="43">
        <f t="shared" si="3"/>
        <v>0.51728591297436921</v>
      </c>
      <c r="O16" s="43" t="str">
        <f t="shared" si="7"/>
        <v>Up to $10</v>
      </c>
      <c r="P16" s="43">
        <f t="shared" si="4"/>
        <v>3.4140870256308409E-3</v>
      </c>
      <c r="Q16" s="43">
        <f t="shared" si="5"/>
        <v>-6.6E-3</v>
      </c>
      <c r="R16" s="43" t="str">
        <f t="shared" si="6"/>
        <v>$0-$5</v>
      </c>
      <c r="S16" s="45" t="str">
        <f t="shared" si="8"/>
        <v>&gt;$50</v>
      </c>
    </row>
    <row r="17" spans="1:19" x14ac:dyDescent="0.35">
      <c r="A17" s="43" t="s">
        <v>22</v>
      </c>
      <c r="B17" s="43" t="s">
        <v>219</v>
      </c>
      <c r="C17" s="43" t="s">
        <v>407</v>
      </c>
      <c r="D17" s="44">
        <v>2.2700000000000001E-2</v>
      </c>
      <c r="E17" s="43">
        <f>D17</f>
        <v>2.2700000000000001E-2</v>
      </c>
      <c r="F17" s="43">
        <f t="shared" si="0"/>
        <v>-2.2700000000000001E-2</v>
      </c>
      <c r="G17" s="43">
        <f t="shared" si="1"/>
        <v>2.2700000000000001E-2</v>
      </c>
      <c r="H17" s="43" t="s">
        <v>607</v>
      </c>
      <c r="I17" s="43" t="s">
        <v>767</v>
      </c>
      <c r="J17" s="43">
        <f>IFERROR(VALUE(SUBSTITUTE(SUBSTITUTE(Table1[[#This Row],[Volume (24h) USD]],"$",""),",","")),0)</f>
        <v>27917564</v>
      </c>
      <c r="K17" s="43" t="s">
        <v>961</v>
      </c>
      <c r="L17" s="43" t="str">
        <f>IF(OR(LEFT(Table1[[#This Row],[Coin Name]],1)="A",LEFT(Table1[[#This Row],[Coin Name]],1)="E",LEFT(Table1[[#This Row],[Coin Name]],1)="I",LEFT(Table1[[#This Row],[Coin Name]],1)="O",LEFT(Table1[[#This Row],[Coin Name]],1)="U",LEFT(Table1[[#This Row],[Coin Name]],1)="B",LEFT(Table1[[#This Row],[Coin Name]],1)="C",LEFT(Table1[[#This Row],[Coin Name]],1)="D"),"Yes","No")</f>
        <v>No</v>
      </c>
      <c r="M17" s="43">
        <f t="shared" si="2"/>
        <v>9.4530000000000003E-2</v>
      </c>
      <c r="N17" s="43">
        <f t="shared" si="3"/>
        <v>9.2431798181284844E-2</v>
      </c>
      <c r="O17" s="43" t="str">
        <f t="shared" si="7"/>
        <v>Up to $10</v>
      </c>
      <c r="P17" s="43">
        <f t="shared" si="4"/>
        <v>2.0982018187151591E-3</v>
      </c>
      <c r="Q17" s="43">
        <f t="shared" si="5"/>
        <v>-2.2700000000000001E-2</v>
      </c>
      <c r="R17" s="43" t="str">
        <f t="shared" si="6"/>
        <v>$0-$5</v>
      </c>
      <c r="S17" s="45" t="str">
        <f t="shared" si="8"/>
        <v>&gt;$50</v>
      </c>
    </row>
    <row r="18" spans="1:19" x14ac:dyDescent="0.35">
      <c r="A18" s="43" t="s">
        <v>23</v>
      </c>
      <c r="B18" s="43" t="s">
        <v>220</v>
      </c>
      <c r="C18" s="43" t="s">
        <v>408</v>
      </c>
      <c r="D18" s="44">
        <v>0.01</v>
      </c>
      <c r="E18" s="43">
        <f>D18</f>
        <v>0.01</v>
      </c>
      <c r="F18" s="43">
        <f t="shared" si="0"/>
        <v>-0.01</v>
      </c>
      <c r="G18" s="43">
        <f t="shared" si="1"/>
        <v>0.01</v>
      </c>
      <c r="H18" s="43" t="s">
        <v>608</v>
      </c>
      <c r="I18" s="43" t="s">
        <v>768</v>
      </c>
      <c r="J18" s="43">
        <f>IFERROR(VALUE(SUBSTITUTE(SUBSTITUTE(Table1[[#This Row],[Volume (24h) USD]],"$",""),",","")),0)</f>
        <v>21157648</v>
      </c>
      <c r="K18" s="43" t="s">
        <v>962</v>
      </c>
      <c r="L18" s="43" t="str">
        <f>IF(OR(LEFT(Table1[[#This Row],[Coin Name]],1)="A",LEFT(Table1[[#This Row],[Coin Name]],1)="E",LEFT(Table1[[#This Row],[Coin Name]],1)="I",LEFT(Table1[[#This Row],[Coin Name]],1)="O",LEFT(Table1[[#This Row],[Coin Name]],1)="U",LEFT(Table1[[#This Row],[Coin Name]],1)="B",LEFT(Table1[[#This Row],[Coin Name]],1)="C",LEFT(Table1[[#This Row],[Coin Name]],1)="D"),"Yes","No")</f>
        <v>No</v>
      </c>
      <c r="M18" s="43">
        <f t="shared" si="2"/>
        <v>0.33939999999999998</v>
      </c>
      <c r="N18" s="43">
        <f t="shared" si="3"/>
        <v>0.33603960396039601</v>
      </c>
      <c r="O18" s="43" t="str">
        <f t="shared" si="7"/>
        <v>Up to $10</v>
      </c>
      <c r="P18" s="43">
        <f t="shared" si="4"/>
        <v>3.3603960396039745E-3</v>
      </c>
      <c r="Q18" s="43">
        <f t="shared" si="5"/>
        <v>-0.01</v>
      </c>
      <c r="R18" s="43" t="str">
        <f t="shared" si="6"/>
        <v>$0-$5</v>
      </c>
      <c r="S18" s="45" t="str">
        <f t="shared" si="8"/>
        <v>&gt;$50</v>
      </c>
    </row>
    <row r="19" spans="1:19" x14ac:dyDescent="0.35">
      <c r="A19" s="43" t="s">
        <v>24</v>
      </c>
      <c r="B19" s="43" t="s">
        <v>221</v>
      </c>
      <c r="C19" s="43" t="s">
        <v>409</v>
      </c>
      <c r="D19" s="44">
        <v>3.0499999999999999E-2</v>
      </c>
      <c r="E19" s="43">
        <f>D19</f>
        <v>3.0499999999999999E-2</v>
      </c>
      <c r="F19" s="43">
        <f t="shared" si="0"/>
        <v>-3.0499999999999999E-2</v>
      </c>
      <c r="G19" s="43">
        <f t="shared" si="1"/>
        <v>3.0499999999999999E-2</v>
      </c>
      <c r="H19" s="43" t="s">
        <v>609</v>
      </c>
      <c r="I19" s="43" t="s">
        <v>769</v>
      </c>
      <c r="J19" s="43">
        <f>IFERROR(VALUE(SUBSTITUTE(SUBSTITUTE(Table1[[#This Row],[Volume (24h) USD]],"$",""),",","")),0)</f>
        <v>70946476</v>
      </c>
      <c r="K19" s="43" t="s">
        <v>963</v>
      </c>
      <c r="L19" s="43" t="str">
        <f>IF(OR(LEFT(Table1[[#This Row],[Coin Name]],1)="A",LEFT(Table1[[#This Row],[Coin Name]],1)="E",LEFT(Table1[[#This Row],[Coin Name]],1)="I",LEFT(Table1[[#This Row],[Coin Name]],1)="O",LEFT(Table1[[#This Row],[Coin Name]],1)="U",LEFT(Table1[[#This Row],[Coin Name]],1)="B",LEFT(Table1[[#This Row],[Coin Name]],1)="C",LEFT(Table1[[#This Row],[Coin Name]],1)="D"),"Yes","No")</f>
        <v>No</v>
      </c>
      <c r="M19" s="43">
        <f t="shared" si="2"/>
        <v>0.46260000000000001</v>
      </c>
      <c r="N19" s="43">
        <f t="shared" si="3"/>
        <v>0.44890829694323148</v>
      </c>
      <c r="O19" s="43" t="str">
        <f t="shared" si="7"/>
        <v>Up to $10</v>
      </c>
      <c r="P19" s="43">
        <f t="shared" si="4"/>
        <v>1.3691703056768534E-2</v>
      </c>
      <c r="Q19" s="43">
        <f t="shared" si="5"/>
        <v>-3.0499999999999999E-2</v>
      </c>
      <c r="R19" s="43" t="str">
        <f t="shared" si="6"/>
        <v>$0-$5</v>
      </c>
      <c r="S19" s="45" t="str">
        <f t="shared" si="8"/>
        <v>&gt;$50</v>
      </c>
    </row>
    <row r="20" spans="1:19" x14ac:dyDescent="0.35">
      <c r="A20" s="43" t="s">
        <v>47</v>
      </c>
      <c r="B20" s="43" t="s">
        <v>243</v>
      </c>
      <c r="C20" s="43" t="s">
        <v>432</v>
      </c>
      <c r="D20" s="44">
        <v>1.14E-2</v>
      </c>
      <c r="E20" s="43">
        <f>D20</f>
        <v>1.14E-2</v>
      </c>
      <c r="F20" s="43">
        <f t="shared" si="0"/>
        <v>-1.14E-2</v>
      </c>
      <c r="G20" s="43">
        <f t="shared" si="1"/>
        <v>1.14E-2</v>
      </c>
      <c r="H20" s="43" t="s">
        <v>632</v>
      </c>
      <c r="I20" s="43" t="s">
        <v>792</v>
      </c>
      <c r="J20" s="43">
        <f>IFERROR(VALUE(SUBSTITUTE(SUBSTITUTE(Table1[[#This Row],[Volume (24h) USD]],"$",""),",","")),0)</f>
        <v>25758134</v>
      </c>
      <c r="K20" s="43" t="s">
        <v>986</v>
      </c>
      <c r="L20" s="43" t="str">
        <f>IF(OR(LEFT(Table1[[#This Row],[Coin Name]],1)="A",LEFT(Table1[[#This Row],[Coin Name]],1)="E",LEFT(Table1[[#This Row],[Coin Name]],1)="I",LEFT(Table1[[#This Row],[Coin Name]],1)="O",LEFT(Table1[[#This Row],[Coin Name]],1)="U",LEFT(Table1[[#This Row],[Coin Name]],1)="B",LEFT(Table1[[#This Row],[Coin Name]],1)="C",LEFT(Table1[[#This Row],[Coin Name]],1)="D"),"Yes","No")</f>
        <v>Yes</v>
      </c>
      <c r="M20" s="43">
        <f t="shared" si="2"/>
        <v>7.1980000000000002E-2</v>
      </c>
      <c r="N20" s="43">
        <f t="shared" si="3"/>
        <v>7.1168677081273474E-2</v>
      </c>
      <c r="O20" s="43" t="str">
        <f t="shared" si="7"/>
        <v>Up to $10</v>
      </c>
      <c r="P20" s="43">
        <f t="shared" si="4"/>
        <v>8.1132291872652862E-4</v>
      </c>
      <c r="Q20" s="43">
        <f t="shared" si="5"/>
        <v>-1.14E-2</v>
      </c>
      <c r="R20" s="43" t="str">
        <f t="shared" si="6"/>
        <v>$0-$5</v>
      </c>
      <c r="S20" s="45" t="str">
        <f>IF(M20&lt;=0.05,"$0-$0.05",IF(M20&lt;=0.5,"$0.05-$0.5",IF(M20&lt;=5,"$0.5-$5",IF(M20&lt;=50,"$5-$50","&gt;$50"))))</f>
        <v>$0.05-$0.5</v>
      </c>
    </row>
    <row r="21" spans="1:19" x14ac:dyDescent="0.35">
      <c r="A21" s="43" t="s">
        <v>26</v>
      </c>
      <c r="B21" s="43" t="s">
        <v>223</v>
      </c>
      <c r="C21" s="43" t="s">
        <v>411</v>
      </c>
      <c r="D21" s="44">
        <v>1E-4</v>
      </c>
      <c r="E21" s="43">
        <f>D21</f>
        <v>1E-4</v>
      </c>
      <c r="F21" s="43">
        <f t="shared" si="0"/>
        <v>-1E-4</v>
      </c>
      <c r="G21" s="43">
        <f t="shared" si="1"/>
        <v>1E-4</v>
      </c>
      <c r="H21" s="43" t="s">
        <v>611</v>
      </c>
      <c r="I21" s="43" t="s">
        <v>771</v>
      </c>
      <c r="J21" s="43">
        <f>IFERROR(VALUE(SUBSTITUTE(SUBSTITUTE(Table1[[#This Row],[Volume (24h) USD]],"$",""),",","")),0)</f>
        <v>60347807</v>
      </c>
      <c r="K21" s="43" t="s">
        <v>965</v>
      </c>
      <c r="L21" s="43" t="str">
        <f>IF(OR(LEFT(Table1[[#This Row],[Coin Name]],1)="A",LEFT(Table1[[#This Row],[Coin Name]],1)="E",LEFT(Table1[[#This Row],[Coin Name]],1)="I",LEFT(Table1[[#This Row],[Coin Name]],1)="O",LEFT(Table1[[#This Row],[Coin Name]],1)="U",LEFT(Table1[[#This Row],[Coin Name]],1)="B",LEFT(Table1[[#This Row],[Coin Name]],1)="C",LEFT(Table1[[#This Row],[Coin Name]],1)="D"),"Yes","No")</f>
        <v>No</v>
      </c>
      <c r="M21" s="43">
        <f t="shared" si="2"/>
        <v>0.99760000000000004</v>
      </c>
      <c r="N21" s="43">
        <f t="shared" si="3"/>
        <v>0.99750024997500253</v>
      </c>
      <c r="O21" s="43" t="str">
        <f t="shared" si="7"/>
        <v>Up to $10</v>
      </c>
      <c r="P21" s="43">
        <f t="shared" si="4"/>
        <v>9.975002499751362E-5</v>
      </c>
      <c r="Q21" s="43">
        <f t="shared" si="5"/>
        <v>-1E-4</v>
      </c>
      <c r="R21" s="43" t="str">
        <f t="shared" si="6"/>
        <v>$0-$5</v>
      </c>
      <c r="S21" s="45" t="str">
        <f t="shared" si="8"/>
        <v>&gt;$50</v>
      </c>
    </row>
    <row r="22" spans="1:19" x14ac:dyDescent="0.35">
      <c r="A22" s="43" t="s">
        <v>27</v>
      </c>
      <c r="B22" s="43" t="s">
        <v>224</v>
      </c>
      <c r="C22" s="43" t="s">
        <v>412</v>
      </c>
      <c r="D22" s="44">
        <v>1E-4</v>
      </c>
      <c r="E22" s="43">
        <f>D22</f>
        <v>1E-4</v>
      </c>
      <c r="F22" s="43">
        <f t="shared" si="0"/>
        <v>-1E-4</v>
      </c>
      <c r="G22" s="43">
        <f t="shared" si="1"/>
        <v>1E-4</v>
      </c>
      <c r="H22" s="43" t="s">
        <v>612</v>
      </c>
      <c r="I22" s="43" t="s">
        <v>772</v>
      </c>
      <c r="J22" s="43">
        <f>IFERROR(VALUE(SUBSTITUTE(SUBSTITUTE(Table1[[#This Row],[Volume (24h) USD]],"$",""),",","")),0)</f>
        <v>58305626</v>
      </c>
      <c r="K22" s="43" t="s">
        <v>966</v>
      </c>
      <c r="L22" s="43" t="str">
        <f>IF(OR(LEFT(Table1[[#This Row],[Coin Name]],1)="A",LEFT(Table1[[#This Row],[Coin Name]],1)="E",LEFT(Table1[[#This Row],[Coin Name]],1)="I",LEFT(Table1[[#This Row],[Coin Name]],1)="O",LEFT(Table1[[#This Row],[Coin Name]],1)="U",LEFT(Table1[[#This Row],[Coin Name]],1)="B",LEFT(Table1[[#This Row],[Coin Name]],1)="C",LEFT(Table1[[#This Row],[Coin Name]],1)="D"),"Yes","No")</f>
        <v>No</v>
      </c>
      <c r="M22" s="43">
        <f t="shared" si="2"/>
        <v>4.45</v>
      </c>
      <c r="N22" s="43">
        <f t="shared" si="3"/>
        <v>4.4495550444955505</v>
      </c>
      <c r="O22" s="43" t="str">
        <f t="shared" si="7"/>
        <v>Up to $10</v>
      </c>
      <c r="P22" s="43">
        <f t="shared" si="4"/>
        <v>4.4495550444967336E-4</v>
      </c>
      <c r="Q22" s="43">
        <f t="shared" si="5"/>
        <v>-1E-4</v>
      </c>
      <c r="R22" s="43" t="str">
        <f t="shared" si="6"/>
        <v>$0-$5</v>
      </c>
      <c r="S22" s="45" t="str">
        <f t="shared" si="8"/>
        <v>&gt;$50</v>
      </c>
    </row>
    <row r="23" spans="1:19" x14ac:dyDescent="0.35">
      <c r="A23" s="43" t="s">
        <v>28</v>
      </c>
      <c r="B23" s="43" t="s">
        <v>225</v>
      </c>
      <c r="C23" s="43" t="s">
        <v>413</v>
      </c>
      <c r="D23" s="44">
        <v>4.4999999999999997E-3</v>
      </c>
      <c r="E23" s="43">
        <f>D23</f>
        <v>4.4999999999999997E-3</v>
      </c>
      <c r="F23" s="43">
        <f t="shared" si="0"/>
        <v>-4.4999999999999997E-3</v>
      </c>
      <c r="G23" s="43">
        <f t="shared" si="1"/>
        <v>4.4999999999999997E-3</v>
      </c>
      <c r="H23" s="43" t="s">
        <v>613</v>
      </c>
      <c r="I23" s="43" t="s">
        <v>773</v>
      </c>
      <c r="J23" s="43">
        <f>IFERROR(VALUE(SUBSTITUTE(SUBSTITUTE(Table1[[#This Row],[Volume (24h) USD]],"$",""),",","")),0)</f>
        <v>17245756</v>
      </c>
      <c r="K23" s="43" t="s">
        <v>967</v>
      </c>
      <c r="L23" s="43" t="str">
        <f>IF(OR(LEFT(Table1[[#This Row],[Coin Name]],1)="A",LEFT(Table1[[#This Row],[Coin Name]],1)="E",LEFT(Table1[[#This Row],[Coin Name]],1)="I",LEFT(Table1[[#This Row],[Coin Name]],1)="O",LEFT(Table1[[#This Row],[Coin Name]],1)="U",LEFT(Table1[[#This Row],[Coin Name]],1)="B",LEFT(Table1[[#This Row],[Coin Name]],1)="C",LEFT(Table1[[#This Row],[Coin Name]],1)="D"),"Yes","No")</f>
        <v>No</v>
      </c>
      <c r="M23" s="43">
        <f t="shared" si="2"/>
        <v>4.32</v>
      </c>
      <c r="N23" s="43">
        <f t="shared" si="3"/>
        <v>4.3006470881035348</v>
      </c>
      <c r="O23" s="43" t="str">
        <f t="shared" si="7"/>
        <v>Up to $10</v>
      </c>
      <c r="P23" s="43">
        <f t="shared" si="4"/>
        <v>1.9352911896465486E-2</v>
      </c>
      <c r="Q23" s="43">
        <f t="shared" si="5"/>
        <v>-4.4999999999999997E-3</v>
      </c>
      <c r="R23" s="43" t="str">
        <f t="shared" si="6"/>
        <v>$0-$5</v>
      </c>
      <c r="S23" s="45" t="str">
        <f t="shared" si="8"/>
        <v>&gt;$50</v>
      </c>
    </row>
    <row r="24" spans="1:19" x14ac:dyDescent="0.35">
      <c r="A24" s="43" t="s">
        <v>29</v>
      </c>
      <c r="B24" s="43" t="s">
        <v>226</v>
      </c>
      <c r="C24" s="43" t="s">
        <v>414</v>
      </c>
      <c r="D24" s="44">
        <v>5.9999999999999995E-4</v>
      </c>
      <c r="E24" s="43">
        <f>D24</f>
        <v>5.9999999999999995E-4</v>
      </c>
      <c r="F24" s="43">
        <f t="shared" si="0"/>
        <v>-5.9999999999999995E-4</v>
      </c>
      <c r="G24" s="43">
        <f t="shared" si="1"/>
        <v>5.9999999999999995E-4</v>
      </c>
      <c r="H24" s="43" t="s">
        <v>614</v>
      </c>
      <c r="I24" s="43" t="s">
        <v>774</v>
      </c>
      <c r="J24" s="43">
        <f>IFERROR(VALUE(SUBSTITUTE(SUBSTITUTE(Table1[[#This Row],[Volume (24h) USD]],"$",""),",","")),0)</f>
        <v>486945</v>
      </c>
      <c r="K24" s="43" t="s">
        <v>968</v>
      </c>
      <c r="L24" s="43" t="str">
        <f>IF(OR(LEFT(Table1[[#This Row],[Coin Name]],1)="A",LEFT(Table1[[#This Row],[Coin Name]],1)="E",LEFT(Table1[[#This Row],[Coin Name]],1)="I",LEFT(Table1[[#This Row],[Coin Name]],1)="O",LEFT(Table1[[#This Row],[Coin Name]],1)="U",LEFT(Table1[[#This Row],[Coin Name]],1)="B",LEFT(Table1[[#This Row],[Coin Name]],1)="C",LEFT(Table1[[#This Row],[Coin Name]],1)="D"),"Yes","No")</f>
        <v>No</v>
      </c>
      <c r="M24" s="43">
        <f t="shared" si="2"/>
        <v>3.26</v>
      </c>
      <c r="N24" s="43">
        <f t="shared" si="3"/>
        <v>3.2580451728962623</v>
      </c>
      <c r="O24" s="43" t="str">
        <f t="shared" si="7"/>
        <v>Up to $10</v>
      </c>
      <c r="P24" s="43">
        <f t="shared" si="4"/>
        <v>1.9548271037375109E-3</v>
      </c>
      <c r="Q24" s="43">
        <f t="shared" si="5"/>
        <v>-5.9999999999999995E-4</v>
      </c>
      <c r="R24" s="43" t="str">
        <f t="shared" si="6"/>
        <v>$0-$5</v>
      </c>
      <c r="S24" s="45" t="str">
        <f t="shared" si="8"/>
        <v>&gt;$50</v>
      </c>
    </row>
    <row r="25" spans="1:19" x14ac:dyDescent="0.35">
      <c r="A25" s="43" t="s">
        <v>30</v>
      </c>
      <c r="B25" s="43" t="s">
        <v>227</v>
      </c>
      <c r="C25" s="43" t="s">
        <v>415</v>
      </c>
      <c r="D25" s="44">
        <v>5.1999999999999998E-3</v>
      </c>
      <c r="E25" s="43">
        <f>D25</f>
        <v>5.1999999999999998E-3</v>
      </c>
      <c r="F25" s="43">
        <f t="shared" si="0"/>
        <v>-5.1999999999999998E-3</v>
      </c>
      <c r="G25" s="43">
        <f t="shared" si="1"/>
        <v>5.1999999999999998E-3</v>
      </c>
      <c r="H25" s="43" t="s">
        <v>615</v>
      </c>
      <c r="I25" s="43" t="s">
        <v>775</v>
      </c>
      <c r="J25" s="43">
        <f>IFERROR(VALUE(SUBSTITUTE(SUBSTITUTE(Table1[[#This Row],[Volume (24h) USD]],"$",""),",","")),0)</f>
        <v>2595867</v>
      </c>
      <c r="K25" s="43" t="s">
        <v>969</v>
      </c>
      <c r="L25" s="43" t="str">
        <f>IF(OR(LEFT(Table1[[#This Row],[Coin Name]],1)="A",LEFT(Table1[[#This Row],[Coin Name]],1)="E",LEFT(Table1[[#This Row],[Coin Name]],1)="I",LEFT(Table1[[#This Row],[Coin Name]],1)="O",LEFT(Table1[[#This Row],[Coin Name]],1)="U",LEFT(Table1[[#This Row],[Coin Name]],1)="B",LEFT(Table1[[#This Row],[Coin Name]],1)="C",LEFT(Table1[[#This Row],[Coin Name]],1)="D"),"Yes","No")</f>
        <v>No</v>
      </c>
      <c r="M25" s="43">
        <f t="shared" si="2"/>
        <v>1.43</v>
      </c>
      <c r="N25" s="43">
        <f t="shared" si="3"/>
        <v>1.422602467170712</v>
      </c>
      <c r="O25" s="43" t="str">
        <f t="shared" si="7"/>
        <v>Up to $10</v>
      </c>
      <c r="P25" s="43">
        <f t="shared" si="4"/>
        <v>7.3975328292879006E-3</v>
      </c>
      <c r="Q25" s="43">
        <f t="shared" si="5"/>
        <v>-5.1999999999999998E-3</v>
      </c>
      <c r="R25" s="43" t="str">
        <f t="shared" si="6"/>
        <v>$0-$5</v>
      </c>
      <c r="S25" s="45" t="str">
        <f t="shared" si="8"/>
        <v>&gt;$50</v>
      </c>
    </row>
    <row r="26" spans="1:19" x14ac:dyDescent="0.35">
      <c r="A26" s="43" t="s">
        <v>25</v>
      </c>
      <c r="B26" s="43" t="s">
        <v>222</v>
      </c>
      <c r="C26" s="43" t="s">
        <v>410</v>
      </c>
      <c r="D26" s="44">
        <v>1.37E-2</v>
      </c>
      <c r="E26" s="43">
        <f>D26</f>
        <v>1.37E-2</v>
      </c>
      <c r="F26" s="43">
        <f t="shared" si="0"/>
        <v>-1.37E-2</v>
      </c>
      <c r="G26" s="43">
        <f t="shared" si="1"/>
        <v>1.37E-2</v>
      </c>
      <c r="H26" s="43" t="s">
        <v>610</v>
      </c>
      <c r="I26" s="43" t="s">
        <v>770</v>
      </c>
      <c r="J26" s="43">
        <f>IFERROR(VALUE(SUBSTITUTE(SUBSTITUTE(Table1[[#This Row],[Volume (24h) USD]],"$",""),",","")),0)</f>
        <v>25685731</v>
      </c>
      <c r="K26" s="43" t="s">
        <v>964</v>
      </c>
      <c r="L26" s="43" t="str">
        <f>IF(OR(LEFT(Table1[[#This Row],[Coin Name]],1)="A",LEFT(Table1[[#This Row],[Coin Name]],1)="E",LEFT(Table1[[#This Row],[Coin Name]],1)="I",LEFT(Table1[[#This Row],[Coin Name]],1)="O",LEFT(Table1[[#This Row],[Coin Name]],1)="U",LEFT(Table1[[#This Row],[Coin Name]],1)="B",LEFT(Table1[[#This Row],[Coin Name]],1)="C",LEFT(Table1[[#This Row],[Coin Name]],1)="D"),"Yes","No")</f>
        <v>Yes</v>
      </c>
      <c r="M26" s="43">
        <f t="shared" si="2"/>
        <v>0.2505</v>
      </c>
      <c r="N26" s="43">
        <f t="shared" si="3"/>
        <v>0.24711453092630956</v>
      </c>
      <c r="O26" s="43" t="str">
        <f t="shared" si="7"/>
        <v>Up to $10</v>
      </c>
      <c r="P26" s="43">
        <f t="shared" si="4"/>
        <v>3.3854690736904447E-3</v>
      </c>
      <c r="Q26" s="43">
        <f t="shared" si="5"/>
        <v>-1.37E-2</v>
      </c>
      <c r="R26" s="43" t="str">
        <f t="shared" si="6"/>
        <v>$0-$5</v>
      </c>
      <c r="S26" s="45" t="str">
        <f t="shared" ref="S26:S27" si="10">IF(M26&lt;=0.05,"$0-$0.05",IF(M26&lt;=0.5,"$0.05-$0.5",IF(M26&lt;=5,"$0.5-$5",IF(M26&lt;=50,"$5-$50","&gt;$50"))))</f>
        <v>$0.05-$0.5</v>
      </c>
    </row>
    <row r="27" spans="1:19" x14ac:dyDescent="0.35">
      <c r="A27" s="43" t="s">
        <v>62</v>
      </c>
      <c r="B27" s="43" t="s">
        <v>258</v>
      </c>
      <c r="C27" s="43" t="s">
        <v>447</v>
      </c>
      <c r="D27" s="44">
        <v>6.9999999999999999E-4</v>
      </c>
      <c r="E27" s="43">
        <f>D27</f>
        <v>6.9999999999999999E-4</v>
      </c>
      <c r="F27" s="43">
        <f t="shared" si="0"/>
        <v>-6.9999999999999999E-4</v>
      </c>
      <c r="G27" s="43">
        <f t="shared" si="1"/>
        <v>6.9999999999999999E-4</v>
      </c>
      <c r="H27" s="43" t="s">
        <v>647</v>
      </c>
      <c r="I27" s="43" t="s">
        <v>807</v>
      </c>
      <c r="J27" s="43">
        <f>IFERROR(VALUE(SUBSTITUTE(SUBSTITUTE(Table1[[#This Row],[Volume (24h) USD]],"$",""),",","")),0)</f>
        <v>22680605</v>
      </c>
      <c r="K27" s="43" t="s">
        <v>1001</v>
      </c>
      <c r="L27" s="43" t="str">
        <f>IF(OR(LEFT(Table1[[#This Row],[Coin Name]],1)="A",LEFT(Table1[[#This Row],[Coin Name]],1)="E",LEFT(Table1[[#This Row],[Coin Name]],1)="I",LEFT(Table1[[#This Row],[Coin Name]],1)="O",LEFT(Table1[[#This Row],[Coin Name]],1)="U",LEFT(Table1[[#This Row],[Coin Name]],1)="B",LEFT(Table1[[#This Row],[Coin Name]],1)="C",LEFT(Table1[[#This Row],[Coin Name]],1)="D"),"Yes","No")</f>
        <v>Yes</v>
      </c>
      <c r="M27" s="43">
        <f t="shared" si="2"/>
        <v>1.1499999999999999</v>
      </c>
      <c r="N27" s="43">
        <f t="shared" si="3"/>
        <v>1.1491955631058259</v>
      </c>
      <c r="O27" s="43" t="str">
        <f t="shared" si="7"/>
        <v>Up to $10</v>
      </c>
      <c r="P27" s="43">
        <f t="shared" si="4"/>
        <v>8.0443689417397657E-4</v>
      </c>
      <c r="Q27" s="43">
        <f t="shared" si="5"/>
        <v>-6.9999999999999999E-4</v>
      </c>
      <c r="R27" s="43" t="str">
        <f t="shared" si="6"/>
        <v>$0-$5</v>
      </c>
      <c r="S27" s="45" t="str">
        <f t="shared" si="10"/>
        <v>$0.5-$5</v>
      </c>
    </row>
    <row r="28" spans="1:19" x14ac:dyDescent="0.35">
      <c r="A28" s="43" t="s">
        <v>33</v>
      </c>
      <c r="B28" s="43" t="s">
        <v>230</v>
      </c>
      <c r="C28" s="43" t="s">
        <v>418</v>
      </c>
      <c r="D28" s="44">
        <v>0</v>
      </c>
      <c r="E28" s="43">
        <f>D28</f>
        <v>0</v>
      </c>
      <c r="F28" s="43">
        <f t="shared" si="0"/>
        <v>0</v>
      </c>
      <c r="G28" s="43">
        <f t="shared" si="1"/>
        <v>0</v>
      </c>
      <c r="H28" s="43" t="s">
        <v>618</v>
      </c>
      <c r="I28" s="43" t="s">
        <v>778</v>
      </c>
      <c r="J28" s="43">
        <f>IFERROR(VALUE(SUBSTITUTE(SUBSTITUTE(Table1[[#This Row],[Volume (24h) USD]],"$",""),",","")),0)</f>
        <v>3265776</v>
      </c>
      <c r="K28" s="43" t="s">
        <v>972</v>
      </c>
      <c r="L28" s="43" t="str">
        <f>IF(OR(LEFT(Table1[[#This Row],[Coin Name]],1)="A",LEFT(Table1[[#This Row],[Coin Name]],1)="E",LEFT(Table1[[#This Row],[Coin Name]],1)="I",LEFT(Table1[[#This Row],[Coin Name]],1)="O",LEFT(Table1[[#This Row],[Coin Name]],1)="U",LEFT(Table1[[#This Row],[Coin Name]],1)="B",LEFT(Table1[[#This Row],[Coin Name]],1)="C",LEFT(Table1[[#This Row],[Coin Name]],1)="D"),"Yes","No")</f>
        <v>No</v>
      </c>
      <c r="M28" s="43">
        <f t="shared" si="2"/>
        <v>0.99970000000000003</v>
      </c>
      <c r="N28" s="43">
        <f t="shared" si="3"/>
        <v>0.99970000000000003</v>
      </c>
      <c r="O28" s="43" t="str">
        <f t="shared" si="7"/>
        <v>Up to $10</v>
      </c>
      <c r="P28" s="43">
        <f t="shared" si="4"/>
        <v>0</v>
      </c>
      <c r="Q28" s="43">
        <f t="shared" si="5"/>
        <v>0</v>
      </c>
      <c r="R28" s="43" t="str">
        <f t="shared" si="6"/>
        <v>$0-$5</v>
      </c>
      <c r="S28" s="45" t="str">
        <f t="shared" si="8"/>
        <v>&gt;$50</v>
      </c>
    </row>
    <row r="29" spans="1:19" x14ac:dyDescent="0.35">
      <c r="A29" s="43" t="s">
        <v>34</v>
      </c>
      <c r="B29" s="43" t="s">
        <v>231</v>
      </c>
      <c r="C29" s="43" t="s">
        <v>419</v>
      </c>
      <c r="D29" s="44">
        <v>5.1999999999999998E-3</v>
      </c>
      <c r="E29" s="43">
        <f>D29</f>
        <v>5.1999999999999998E-3</v>
      </c>
      <c r="F29" s="43">
        <f t="shared" si="0"/>
        <v>-5.1999999999999998E-3</v>
      </c>
      <c r="G29" s="43">
        <f t="shared" si="1"/>
        <v>5.1999999999999998E-3</v>
      </c>
      <c r="H29" s="43" t="s">
        <v>619</v>
      </c>
      <c r="I29" s="43" t="s">
        <v>779</v>
      </c>
      <c r="J29" s="43">
        <f>IFERROR(VALUE(SUBSTITUTE(SUBSTITUTE(Table1[[#This Row],[Volume (24h) USD]],"$",""),",","")),0)</f>
        <v>183208</v>
      </c>
      <c r="K29" s="43" t="s">
        <v>973</v>
      </c>
      <c r="L29" s="43" t="str">
        <f>IF(OR(LEFT(Table1[[#This Row],[Coin Name]],1)="A",LEFT(Table1[[#This Row],[Coin Name]],1)="E",LEFT(Table1[[#This Row],[Coin Name]],1)="I",LEFT(Table1[[#This Row],[Coin Name]],1)="O",LEFT(Table1[[#This Row],[Coin Name]],1)="U",LEFT(Table1[[#This Row],[Coin Name]],1)="B",LEFT(Table1[[#This Row],[Coin Name]],1)="C",LEFT(Table1[[#This Row],[Coin Name]],1)="D"),"Yes","No")</f>
        <v>No</v>
      </c>
      <c r="M29" s="43">
        <f t="shared" si="2"/>
        <v>1.6469999999999999E-2</v>
      </c>
      <c r="N29" s="43">
        <f t="shared" si="3"/>
        <v>1.6384799044966172E-2</v>
      </c>
      <c r="O29" s="43" t="str">
        <f t="shared" si="7"/>
        <v>Up to $10</v>
      </c>
      <c r="P29" s="43">
        <f t="shared" si="4"/>
        <v>8.5200955033826881E-5</v>
      </c>
      <c r="Q29" s="43">
        <f t="shared" si="5"/>
        <v>-5.1999999999999998E-3</v>
      </c>
      <c r="R29" s="43" t="str">
        <f t="shared" si="6"/>
        <v>$0-$5</v>
      </c>
      <c r="S29" s="45" t="str">
        <f t="shared" si="8"/>
        <v>&gt;$50</v>
      </c>
    </row>
    <row r="30" spans="1:19" x14ac:dyDescent="0.35">
      <c r="A30" s="43" t="s">
        <v>35</v>
      </c>
      <c r="B30" s="43" t="s">
        <v>232</v>
      </c>
      <c r="C30" s="43" t="s">
        <v>420</v>
      </c>
      <c r="D30" s="44">
        <v>3.0300000000000001E-2</v>
      </c>
      <c r="E30" s="43">
        <f>D30</f>
        <v>3.0300000000000001E-2</v>
      </c>
      <c r="F30" s="43">
        <f t="shared" si="0"/>
        <v>-3.0300000000000001E-2</v>
      </c>
      <c r="G30" s="43">
        <f t="shared" si="1"/>
        <v>3.0300000000000001E-2</v>
      </c>
      <c r="H30" s="43" t="s">
        <v>620</v>
      </c>
      <c r="I30" s="43" t="s">
        <v>780</v>
      </c>
      <c r="J30" s="43">
        <f>IFERROR(VALUE(SUBSTITUTE(SUBSTITUTE(Table1[[#This Row],[Volume (24h) USD]],"$",""),",","")),0)</f>
        <v>138536</v>
      </c>
      <c r="K30" s="43" t="s">
        <v>974</v>
      </c>
      <c r="L30" s="43" t="str">
        <f>IF(OR(LEFT(Table1[[#This Row],[Coin Name]],1)="A",LEFT(Table1[[#This Row],[Coin Name]],1)="E",LEFT(Table1[[#This Row],[Coin Name]],1)="I",LEFT(Table1[[#This Row],[Coin Name]],1)="O",LEFT(Table1[[#This Row],[Coin Name]],1)="U",LEFT(Table1[[#This Row],[Coin Name]],1)="B",LEFT(Table1[[#This Row],[Coin Name]],1)="C",LEFT(Table1[[#This Row],[Coin Name]],1)="D"),"Yes","No")</f>
        <v>No</v>
      </c>
      <c r="M30" s="43">
        <f t="shared" si="2"/>
        <v>0.49459999999999998</v>
      </c>
      <c r="N30" s="43">
        <f t="shared" si="3"/>
        <v>0.4800543531010385</v>
      </c>
      <c r="O30" s="43" t="str">
        <f t="shared" si="7"/>
        <v>Up to $10</v>
      </c>
      <c r="P30" s="43">
        <f t="shared" si="4"/>
        <v>1.4545646898961484E-2</v>
      </c>
      <c r="Q30" s="43">
        <f t="shared" si="5"/>
        <v>-3.0300000000000001E-2</v>
      </c>
      <c r="R30" s="43" t="str">
        <f t="shared" si="6"/>
        <v>$0-$5</v>
      </c>
      <c r="S30" s="45" t="str">
        <f t="shared" si="8"/>
        <v>&gt;$50</v>
      </c>
    </row>
    <row r="31" spans="1:19" x14ac:dyDescent="0.35">
      <c r="A31" s="43" t="s">
        <v>36</v>
      </c>
      <c r="B31" s="43" t="s">
        <v>233</v>
      </c>
      <c r="C31" s="43" t="s">
        <v>421</v>
      </c>
      <c r="D31" s="44">
        <v>6.6E-3</v>
      </c>
      <c r="E31" s="43">
        <f>D31</f>
        <v>6.6E-3</v>
      </c>
      <c r="F31" s="43">
        <f t="shared" si="0"/>
        <v>-6.6E-3</v>
      </c>
      <c r="G31" s="43">
        <f t="shared" si="1"/>
        <v>6.6E-3</v>
      </c>
      <c r="H31" s="43" t="s">
        <v>621</v>
      </c>
      <c r="I31" s="43" t="s">
        <v>781</v>
      </c>
      <c r="J31" s="43">
        <f>IFERROR(VALUE(SUBSTITUTE(SUBSTITUTE(Table1[[#This Row],[Volume (24h) USD]],"$",""),",","")),0)</f>
        <v>772538</v>
      </c>
      <c r="K31" s="43" t="s">
        <v>975</v>
      </c>
      <c r="L31" s="43" t="str">
        <f>IF(OR(LEFT(Table1[[#This Row],[Coin Name]],1)="A",LEFT(Table1[[#This Row],[Coin Name]],1)="E",LEFT(Table1[[#This Row],[Coin Name]],1)="I",LEFT(Table1[[#This Row],[Coin Name]],1)="O",LEFT(Table1[[#This Row],[Coin Name]],1)="U",LEFT(Table1[[#This Row],[Coin Name]],1)="B",LEFT(Table1[[#This Row],[Coin Name]],1)="C",LEFT(Table1[[#This Row],[Coin Name]],1)="D"),"Yes","No")</f>
        <v>No</v>
      </c>
      <c r="M31" s="43">
        <f t="shared" si="2"/>
        <v>7.3550000000000004E-4</v>
      </c>
      <c r="N31" s="43">
        <f t="shared" si="3"/>
        <v>7.3067752831313336E-4</v>
      </c>
      <c r="O31" s="43" t="str">
        <f t="shared" si="7"/>
        <v>Up to $10</v>
      </c>
      <c r="P31" s="43">
        <f t="shared" si="4"/>
        <v>4.8224716868666782E-6</v>
      </c>
      <c r="Q31" s="43">
        <f t="shared" si="5"/>
        <v>-6.6E-3</v>
      </c>
      <c r="R31" s="43" t="str">
        <f t="shared" si="6"/>
        <v>$0-$5</v>
      </c>
      <c r="S31" s="45" t="str">
        <f t="shared" si="8"/>
        <v>&gt;$50</v>
      </c>
    </row>
    <row r="32" spans="1:19" x14ac:dyDescent="0.35">
      <c r="A32" s="43" t="s">
        <v>20</v>
      </c>
      <c r="B32" s="43" t="s">
        <v>217</v>
      </c>
      <c r="C32" s="43" t="s">
        <v>405</v>
      </c>
      <c r="D32" s="44">
        <v>8.2000000000000007E-3</v>
      </c>
      <c r="E32" s="43">
        <f>D32</f>
        <v>8.2000000000000007E-3</v>
      </c>
      <c r="F32" s="43">
        <f t="shared" si="0"/>
        <v>-8.2000000000000007E-3</v>
      </c>
      <c r="G32" s="43">
        <f t="shared" si="1"/>
        <v>8.2000000000000007E-3</v>
      </c>
      <c r="H32" s="43" t="s">
        <v>605</v>
      </c>
      <c r="I32" s="43" t="s">
        <v>765</v>
      </c>
      <c r="J32" s="43">
        <f>IFERROR(VALUE(SUBSTITUTE(SUBSTITUTE(Table1[[#This Row],[Volume (24h) USD]],"$",""),",","")),0)</f>
        <v>14386742</v>
      </c>
      <c r="K32" s="43" t="s">
        <v>959</v>
      </c>
      <c r="L32" s="43" t="str">
        <f>IF(OR(LEFT(Table1[[#This Row],[Coin Name]],1)="A",LEFT(Table1[[#This Row],[Coin Name]],1)="E",LEFT(Table1[[#This Row],[Coin Name]],1)="I",LEFT(Table1[[#This Row],[Coin Name]],1)="O",LEFT(Table1[[#This Row],[Coin Name]],1)="U",LEFT(Table1[[#This Row],[Coin Name]],1)="B",LEFT(Table1[[#This Row],[Coin Name]],1)="C",LEFT(Table1[[#This Row],[Coin Name]],1)="D"),"Yes","No")</f>
        <v>Yes</v>
      </c>
      <c r="M32" s="43">
        <f t="shared" si="2"/>
        <v>0.54430000000000001</v>
      </c>
      <c r="N32" s="43">
        <f t="shared" si="3"/>
        <v>0.53987304106328116</v>
      </c>
      <c r="O32" s="43" t="str">
        <f t="shared" si="7"/>
        <v>Up to $10</v>
      </c>
      <c r="P32" s="43">
        <f t="shared" si="4"/>
        <v>4.42695893671885E-3</v>
      </c>
      <c r="Q32" s="43">
        <f t="shared" si="5"/>
        <v>-8.2000000000000007E-3</v>
      </c>
      <c r="R32" s="43" t="str">
        <f t="shared" si="6"/>
        <v>$0-$5</v>
      </c>
      <c r="S32" s="45" t="str">
        <f>IF(M32&lt;=0.05,"$0-$0.05",IF(M32&lt;=0.5,"$0.05-$0.5",IF(M32&lt;=5,"$0.5-$5",IF(M32&lt;=50,"$5-$50","&gt;$50"))))</f>
        <v>$0.5-$5</v>
      </c>
    </row>
    <row r="33" spans="1:19" x14ac:dyDescent="0.35">
      <c r="A33" s="43" t="s">
        <v>38</v>
      </c>
      <c r="B33" s="43" t="s">
        <v>235</v>
      </c>
      <c r="C33" s="43" t="s">
        <v>423</v>
      </c>
      <c r="D33" s="44">
        <v>3.2000000000000002E-3</v>
      </c>
      <c r="E33" s="43">
        <f>D33</f>
        <v>3.2000000000000002E-3</v>
      </c>
      <c r="F33" s="43">
        <f t="shared" si="0"/>
        <v>-3.2000000000000002E-3</v>
      </c>
      <c r="G33" s="43">
        <f t="shared" si="1"/>
        <v>3.2000000000000002E-3</v>
      </c>
      <c r="H33" s="43" t="s">
        <v>623</v>
      </c>
      <c r="I33" s="43" t="s">
        <v>783</v>
      </c>
      <c r="J33" s="43">
        <f>IFERROR(VALUE(SUBSTITUTE(SUBSTITUTE(Table1[[#This Row],[Volume (24h) USD]],"$",""),",","")),0)</f>
        <v>3268919</v>
      </c>
      <c r="K33" s="43" t="s">
        <v>977</v>
      </c>
      <c r="L33" s="43" t="str">
        <f>IF(OR(LEFT(Table1[[#This Row],[Coin Name]],1)="A",LEFT(Table1[[#This Row],[Coin Name]],1)="E",LEFT(Table1[[#This Row],[Coin Name]],1)="I",LEFT(Table1[[#This Row],[Coin Name]],1)="O",LEFT(Table1[[#This Row],[Coin Name]],1)="U",LEFT(Table1[[#This Row],[Coin Name]],1)="B",LEFT(Table1[[#This Row],[Coin Name]],1)="C",LEFT(Table1[[#This Row],[Coin Name]],1)="D"),"Yes","No")</f>
        <v>No</v>
      </c>
      <c r="M33" s="43">
        <f t="shared" si="2"/>
        <v>0.1336</v>
      </c>
      <c r="N33" s="43">
        <f t="shared" si="3"/>
        <v>0.13317384370015947</v>
      </c>
      <c r="O33" s="43" t="str">
        <f t="shared" si="7"/>
        <v>Up to $10</v>
      </c>
      <c r="P33" s="43">
        <f t="shared" si="4"/>
        <v>4.2615629984052439E-4</v>
      </c>
      <c r="Q33" s="43">
        <f t="shared" si="5"/>
        <v>-3.2000000000000002E-3</v>
      </c>
      <c r="R33" s="43" t="str">
        <f t="shared" si="6"/>
        <v>$0-$5</v>
      </c>
      <c r="S33" s="45" t="str">
        <f t="shared" si="8"/>
        <v>&gt;$50</v>
      </c>
    </row>
    <row r="34" spans="1:19" x14ac:dyDescent="0.35">
      <c r="A34" s="43" t="s">
        <v>39</v>
      </c>
      <c r="B34" s="43" t="s">
        <v>236</v>
      </c>
      <c r="C34" s="43" t="s">
        <v>424</v>
      </c>
      <c r="D34" s="44">
        <v>6.3E-3</v>
      </c>
      <c r="E34" s="43">
        <f>D34</f>
        <v>6.3E-3</v>
      </c>
      <c r="F34" s="43">
        <f t="shared" ref="F34:F65" si="11">-D34</f>
        <v>-6.3E-3</v>
      </c>
      <c r="G34" s="43">
        <f t="shared" ref="G34:G65" si="12">D34</f>
        <v>6.3E-3</v>
      </c>
      <c r="H34" s="43" t="s">
        <v>624</v>
      </c>
      <c r="I34" s="43" t="s">
        <v>784</v>
      </c>
      <c r="J34" s="43">
        <f>IFERROR(VALUE(SUBSTITUTE(SUBSTITUTE(Table1[[#This Row],[Volume (24h) USD]],"$",""),",","")),0)</f>
        <v>4086544</v>
      </c>
      <c r="K34" s="43" t="s">
        <v>978</v>
      </c>
      <c r="L34" s="43" t="str">
        <f>IF(OR(LEFT(Table1[[#This Row],[Coin Name]],1)="A",LEFT(Table1[[#This Row],[Coin Name]],1)="E",LEFT(Table1[[#This Row],[Coin Name]],1)="I",LEFT(Table1[[#This Row],[Coin Name]],1)="O",LEFT(Table1[[#This Row],[Coin Name]],1)="U",LEFT(Table1[[#This Row],[Coin Name]],1)="B",LEFT(Table1[[#This Row],[Coin Name]],1)="C",LEFT(Table1[[#This Row],[Coin Name]],1)="D"),"Yes","No")</f>
        <v>No</v>
      </c>
      <c r="M34" s="43">
        <f t="shared" ref="M34:M65" si="13">VALUE(SUBSTITUTE(C34,"$",""))</f>
        <v>0.1043</v>
      </c>
      <c r="N34" s="43">
        <f t="shared" ref="N34:N65" si="14">M34/(1+D34)</f>
        <v>0.10364702375037266</v>
      </c>
      <c r="O34" s="43" t="str">
        <f t="shared" ref="O34:O65" si="15">IF(M34&lt;10,"Up to $10","&gt;= $10")</f>
        <v>Up to $10</v>
      </c>
      <c r="P34" s="43">
        <f t="shared" ref="P34:P65" si="16">M34-N34</f>
        <v>6.5297624962734613E-4</v>
      </c>
      <c r="Q34" s="43">
        <f t="shared" ref="Q34:Q65" si="17">F34</f>
        <v>-6.3E-3</v>
      </c>
      <c r="R34" s="43" t="str">
        <f t="shared" ref="R34:R65" si="18">IF(M34&lt;=5,"$0-$5","&gt;$5")</f>
        <v>$0-$5</v>
      </c>
      <c r="S34" s="45" t="str">
        <f t="shared" ref="S34:S65" si="19">IF(C34&lt;=0.05,"$0-$0.05",
IF(C34&lt;=0.5,"$0.05-$0.5",
IF(C34&lt;=5,"$0.5-$5",
IF(C34&lt;=50,"$5-$50","&gt;$50"))))</f>
        <v>&gt;$50</v>
      </c>
    </row>
    <row r="35" spans="1:19" x14ac:dyDescent="0.35">
      <c r="A35" s="43" t="s">
        <v>54</v>
      </c>
      <c r="B35" s="43" t="s">
        <v>250</v>
      </c>
      <c r="C35" s="43" t="s">
        <v>439</v>
      </c>
      <c r="D35" s="44">
        <v>1.61E-2</v>
      </c>
      <c r="E35" s="43">
        <f>D35</f>
        <v>1.61E-2</v>
      </c>
      <c r="F35" s="43">
        <f t="shared" si="11"/>
        <v>-1.61E-2</v>
      </c>
      <c r="G35" s="43">
        <f t="shared" si="12"/>
        <v>1.61E-2</v>
      </c>
      <c r="H35" s="43" t="s">
        <v>639</v>
      </c>
      <c r="I35" s="43" t="s">
        <v>799</v>
      </c>
      <c r="J35" s="43">
        <f>IFERROR(VALUE(SUBSTITUTE(SUBSTITUTE(Table1[[#This Row],[Volume (24h) USD]],"$",""),",","")),0)</f>
        <v>12716009</v>
      </c>
      <c r="K35" s="43" t="s">
        <v>993</v>
      </c>
      <c r="L35" s="43" t="str">
        <f>IF(OR(LEFT(Table1[[#This Row],[Coin Name]],1)="A",LEFT(Table1[[#This Row],[Coin Name]],1)="E",LEFT(Table1[[#This Row],[Coin Name]],1)="I",LEFT(Table1[[#This Row],[Coin Name]],1)="O",LEFT(Table1[[#This Row],[Coin Name]],1)="U",LEFT(Table1[[#This Row],[Coin Name]],1)="B",LEFT(Table1[[#This Row],[Coin Name]],1)="C",LEFT(Table1[[#This Row],[Coin Name]],1)="D"),"Yes","No")</f>
        <v>Yes</v>
      </c>
      <c r="M35" s="43">
        <f t="shared" si="13"/>
        <v>7.8759999999999997E-2</v>
      </c>
      <c r="N35" s="43">
        <f t="shared" si="14"/>
        <v>7.7512055900009841E-2</v>
      </c>
      <c r="O35" s="43" t="str">
        <f t="shared" si="15"/>
        <v>Up to $10</v>
      </c>
      <c r="P35" s="43">
        <f t="shared" si="16"/>
        <v>1.2479440999901559E-3</v>
      </c>
      <c r="Q35" s="43">
        <f t="shared" si="17"/>
        <v>-1.61E-2</v>
      </c>
      <c r="R35" s="43" t="str">
        <f t="shared" si="18"/>
        <v>$0-$5</v>
      </c>
      <c r="S35" s="45" t="str">
        <f>IF(M35&lt;=0.05,"$0-$0.05",IF(M35&lt;=0.5,"$0.05-$0.5",IF(M35&lt;=5,"$0.5-$5",IF(M35&lt;=50,"$5-$50","&gt;$50"))))</f>
        <v>$0.05-$0.5</v>
      </c>
    </row>
    <row r="36" spans="1:19" x14ac:dyDescent="0.35">
      <c r="A36" s="43" t="s">
        <v>41</v>
      </c>
      <c r="B36" s="43" t="s">
        <v>237</v>
      </c>
      <c r="C36" s="43" t="s">
        <v>426</v>
      </c>
      <c r="D36" s="44">
        <v>1.1299999999999999E-2</v>
      </c>
      <c r="E36" s="43">
        <f>D36</f>
        <v>1.1299999999999999E-2</v>
      </c>
      <c r="F36" s="43">
        <f t="shared" si="11"/>
        <v>-1.1299999999999999E-2</v>
      </c>
      <c r="G36" s="43">
        <f t="shared" si="12"/>
        <v>1.1299999999999999E-2</v>
      </c>
      <c r="H36" s="43" t="s">
        <v>626</v>
      </c>
      <c r="I36" s="43" t="s">
        <v>786</v>
      </c>
      <c r="J36" s="43">
        <f>IFERROR(VALUE(SUBSTITUTE(SUBSTITUTE(Table1[[#This Row],[Volume (24h) USD]],"$",""),",","")),0)</f>
        <v>6571559</v>
      </c>
      <c r="K36" s="43" t="s">
        <v>980</v>
      </c>
      <c r="L36" s="43" t="str">
        <f>IF(OR(LEFT(Table1[[#This Row],[Coin Name]],1)="A",LEFT(Table1[[#This Row],[Coin Name]],1)="E",LEFT(Table1[[#This Row],[Coin Name]],1)="I",LEFT(Table1[[#This Row],[Coin Name]],1)="O",LEFT(Table1[[#This Row],[Coin Name]],1)="U",LEFT(Table1[[#This Row],[Coin Name]],1)="B",LEFT(Table1[[#This Row],[Coin Name]],1)="C",LEFT(Table1[[#This Row],[Coin Name]],1)="D"),"Yes","No")</f>
        <v>No</v>
      </c>
      <c r="M36" s="43">
        <f t="shared" si="13"/>
        <v>1.1480000000000001E-2</v>
      </c>
      <c r="N36" s="43">
        <f t="shared" si="14"/>
        <v>1.1351725501829328E-2</v>
      </c>
      <c r="O36" s="43" t="str">
        <f t="shared" si="15"/>
        <v>Up to $10</v>
      </c>
      <c r="P36" s="43">
        <f t="shared" si="16"/>
        <v>1.2827449817067252E-4</v>
      </c>
      <c r="Q36" s="43">
        <f t="shared" si="17"/>
        <v>-1.1299999999999999E-2</v>
      </c>
      <c r="R36" s="43" t="str">
        <f t="shared" si="18"/>
        <v>$0-$5</v>
      </c>
      <c r="S36" s="45" t="str">
        <f t="shared" si="19"/>
        <v>&gt;$50</v>
      </c>
    </row>
    <row r="37" spans="1:19" x14ac:dyDescent="0.35">
      <c r="A37" s="43" t="s">
        <v>42</v>
      </c>
      <c r="B37" s="43" t="s">
        <v>238</v>
      </c>
      <c r="C37" s="43" t="s">
        <v>427</v>
      </c>
      <c r="D37" s="44">
        <v>1.01E-2</v>
      </c>
      <c r="E37" s="43">
        <f>D37</f>
        <v>1.01E-2</v>
      </c>
      <c r="F37" s="43">
        <f t="shared" si="11"/>
        <v>-1.01E-2</v>
      </c>
      <c r="G37" s="43">
        <f t="shared" si="12"/>
        <v>1.01E-2</v>
      </c>
      <c r="H37" s="43" t="s">
        <v>627</v>
      </c>
      <c r="I37" s="43" t="s">
        <v>787</v>
      </c>
      <c r="J37" s="43">
        <f>IFERROR(VALUE(SUBSTITUTE(SUBSTITUTE(Table1[[#This Row],[Volume (24h) USD]],"$",""),",","")),0)</f>
        <v>11365168</v>
      </c>
      <c r="K37" s="43" t="s">
        <v>981</v>
      </c>
      <c r="L37" s="43" t="str">
        <f>IF(OR(LEFT(Table1[[#This Row],[Coin Name]],1)="A",LEFT(Table1[[#This Row],[Coin Name]],1)="E",LEFT(Table1[[#This Row],[Coin Name]],1)="I",LEFT(Table1[[#This Row],[Coin Name]],1)="O",LEFT(Table1[[#This Row],[Coin Name]],1)="U",LEFT(Table1[[#This Row],[Coin Name]],1)="B",LEFT(Table1[[#This Row],[Coin Name]],1)="C",LEFT(Table1[[#This Row],[Coin Name]],1)="D"),"Yes","No")</f>
        <v>No</v>
      </c>
      <c r="M37" s="43">
        <f t="shared" si="13"/>
        <v>0.15359999999999999</v>
      </c>
      <c r="N37" s="43">
        <f t="shared" si="14"/>
        <v>0.15206415206415205</v>
      </c>
      <c r="O37" s="43" t="str">
        <f t="shared" si="15"/>
        <v>Up to $10</v>
      </c>
      <c r="P37" s="43">
        <f t="shared" si="16"/>
        <v>1.5358479358479338E-3</v>
      </c>
      <c r="Q37" s="43">
        <f t="shared" si="17"/>
        <v>-1.01E-2</v>
      </c>
      <c r="R37" s="43" t="str">
        <f t="shared" si="18"/>
        <v>$0-$5</v>
      </c>
      <c r="S37" s="45" t="str">
        <f t="shared" si="19"/>
        <v>&gt;$50</v>
      </c>
    </row>
    <row r="38" spans="1:19" x14ac:dyDescent="0.35">
      <c r="A38" s="43" t="s">
        <v>43</v>
      </c>
      <c r="B38" s="43" t="s">
        <v>239</v>
      </c>
      <c r="C38" s="43" t="s">
        <v>428</v>
      </c>
      <c r="D38" s="44">
        <v>2.8999999999999998E-3</v>
      </c>
      <c r="E38" s="43">
        <f>D38</f>
        <v>2.8999999999999998E-3</v>
      </c>
      <c r="F38" s="43">
        <f t="shared" si="11"/>
        <v>-2.8999999999999998E-3</v>
      </c>
      <c r="G38" s="43">
        <f t="shared" si="12"/>
        <v>2.8999999999999998E-3</v>
      </c>
      <c r="H38" s="43" t="s">
        <v>628</v>
      </c>
      <c r="I38" s="43" t="s">
        <v>788</v>
      </c>
      <c r="J38" s="43">
        <f>IFERROR(VALUE(SUBSTITUTE(SUBSTITUTE(Table1[[#This Row],[Volume (24h) USD]],"$",""),",","")),0)</f>
        <v>44129611</v>
      </c>
      <c r="K38" s="43" t="s">
        <v>982</v>
      </c>
      <c r="L38" s="43" t="str">
        <f>IF(OR(LEFT(Table1[[#This Row],[Coin Name]],1)="A",LEFT(Table1[[#This Row],[Coin Name]],1)="E",LEFT(Table1[[#This Row],[Coin Name]],1)="I",LEFT(Table1[[#This Row],[Coin Name]],1)="O",LEFT(Table1[[#This Row],[Coin Name]],1)="U",LEFT(Table1[[#This Row],[Coin Name]],1)="B",LEFT(Table1[[#This Row],[Coin Name]],1)="C",LEFT(Table1[[#This Row],[Coin Name]],1)="D"),"Yes","No")</f>
        <v>No</v>
      </c>
      <c r="M38" s="43">
        <f t="shared" si="13"/>
        <v>0.16800000000000001</v>
      </c>
      <c r="N38" s="43">
        <f t="shared" si="14"/>
        <v>0.16751420879449599</v>
      </c>
      <c r="O38" s="43" t="str">
        <f t="shared" si="15"/>
        <v>Up to $10</v>
      </c>
      <c r="P38" s="43">
        <f t="shared" si="16"/>
        <v>4.8579120550401589E-4</v>
      </c>
      <c r="Q38" s="43">
        <f t="shared" si="17"/>
        <v>-2.8999999999999998E-3</v>
      </c>
      <c r="R38" s="43" t="str">
        <f t="shared" si="18"/>
        <v>$0-$5</v>
      </c>
      <c r="S38" s="45" t="str">
        <f t="shared" si="19"/>
        <v>&gt;$50</v>
      </c>
    </row>
    <row r="39" spans="1:19" x14ac:dyDescent="0.35">
      <c r="A39" s="43" t="s">
        <v>52</v>
      </c>
      <c r="B39" s="43" t="s">
        <v>248</v>
      </c>
      <c r="C39" s="43" t="s">
        <v>437</v>
      </c>
      <c r="D39" s="44">
        <v>1.09E-2</v>
      </c>
      <c r="E39" s="43">
        <f>D39</f>
        <v>1.09E-2</v>
      </c>
      <c r="F39" s="43">
        <f t="shared" si="11"/>
        <v>-1.09E-2</v>
      </c>
      <c r="G39" s="43">
        <f t="shared" si="12"/>
        <v>1.09E-2</v>
      </c>
      <c r="H39" s="43" t="s">
        <v>637</v>
      </c>
      <c r="I39" s="43" t="s">
        <v>797</v>
      </c>
      <c r="J39" s="43">
        <f>IFERROR(VALUE(SUBSTITUTE(SUBSTITUTE(Table1[[#This Row],[Volume (24h) USD]],"$",""),",","")),0)</f>
        <v>9190572</v>
      </c>
      <c r="K39" s="43" t="s">
        <v>991</v>
      </c>
      <c r="L39" s="43" t="str">
        <f>IF(OR(LEFT(Table1[[#This Row],[Coin Name]],1)="A",LEFT(Table1[[#This Row],[Coin Name]],1)="E",LEFT(Table1[[#This Row],[Coin Name]],1)="I",LEFT(Table1[[#This Row],[Coin Name]],1)="O",LEFT(Table1[[#This Row],[Coin Name]],1)="U",LEFT(Table1[[#This Row],[Coin Name]],1)="B",LEFT(Table1[[#This Row],[Coin Name]],1)="C",LEFT(Table1[[#This Row],[Coin Name]],1)="D"),"Yes","No")</f>
        <v>Yes</v>
      </c>
      <c r="M39" s="43">
        <f t="shared" si="13"/>
        <v>9.5740000000000006E-2</v>
      </c>
      <c r="N39" s="43">
        <f t="shared" si="14"/>
        <v>9.470768622019983E-2</v>
      </c>
      <c r="O39" s="43" t="str">
        <f t="shared" si="15"/>
        <v>Up to $10</v>
      </c>
      <c r="P39" s="43">
        <f t="shared" si="16"/>
        <v>1.0323137798001758E-3</v>
      </c>
      <c r="Q39" s="43">
        <f t="shared" si="17"/>
        <v>-1.09E-2</v>
      </c>
      <c r="R39" s="43" t="str">
        <f t="shared" si="18"/>
        <v>$0-$5</v>
      </c>
      <c r="S39" s="45" t="str">
        <f>IF(M39&lt;=0.05,"$0-$0.05",IF(M39&lt;=0.5,"$0.05-$0.5",IF(M39&lt;=5,"$0.5-$5",IF(M39&lt;=50,"$5-$50","&gt;$50"))))</f>
        <v>$0.05-$0.5</v>
      </c>
    </row>
    <row r="40" spans="1:19" x14ac:dyDescent="0.35">
      <c r="A40" s="43" t="s">
        <v>45</v>
      </c>
      <c r="B40" s="43" t="s">
        <v>241</v>
      </c>
      <c r="C40" s="43" t="s">
        <v>430</v>
      </c>
      <c r="D40" s="44">
        <v>5.4000000000000003E-3</v>
      </c>
      <c r="E40" s="43">
        <f>D40</f>
        <v>5.4000000000000003E-3</v>
      </c>
      <c r="F40" s="43">
        <f t="shared" si="11"/>
        <v>-5.4000000000000003E-3</v>
      </c>
      <c r="G40" s="43">
        <f t="shared" si="12"/>
        <v>5.4000000000000003E-3</v>
      </c>
      <c r="H40" s="43" t="s">
        <v>630</v>
      </c>
      <c r="I40" s="43" t="s">
        <v>790</v>
      </c>
      <c r="J40" s="43">
        <f>IFERROR(VALUE(SUBSTITUTE(SUBSTITUTE(Table1[[#This Row],[Volume (24h) USD]],"$",""),",","")),0)</f>
        <v>7215924</v>
      </c>
      <c r="K40" s="43" t="s">
        <v>984</v>
      </c>
      <c r="L40" s="43" t="str">
        <f>IF(OR(LEFT(Table1[[#This Row],[Coin Name]],1)="A",LEFT(Table1[[#This Row],[Coin Name]],1)="E",LEFT(Table1[[#This Row],[Coin Name]],1)="I",LEFT(Table1[[#This Row],[Coin Name]],1)="O",LEFT(Table1[[#This Row],[Coin Name]],1)="U",LEFT(Table1[[#This Row],[Coin Name]],1)="B",LEFT(Table1[[#This Row],[Coin Name]],1)="C",LEFT(Table1[[#This Row],[Coin Name]],1)="D"),"Yes","No")</f>
        <v>No</v>
      </c>
      <c r="M40" s="43">
        <f t="shared" si="13"/>
        <v>0.1537</v>
      </c>
      <c r="N40" s="43">
        <f t="shared" si="14"/>
        <v>0.15287447781977323</v>
      </c>
      <c r="O40" s="43" t="str">
        <f t="shared" si="15"/>
        <v>Up to $10</v>
      </c>
      <c r="P40" s="43">
        <f t="shared" si="16"/>
        <v>8.2552218022677315E-4</v>
      </c>
      <c r="Q40" s="43">
        <f t="shared" si="17"/>
        <v>-5.4000000000000003E-3</v>
      </c>
      <c r="R40" s="43" t="str">
        <f t="shared" si="18"/>
        <v>$0-$5</v>
      </c>
      <c r="S40" s="45" t="str">
        <f t="shared" si="19"/>
        <v>&gt;$50</v>
      </c>
    </row>
    <row r="41" spans="1:19" x14ac:dyDescent="0.35">
      <c r="A41" s="43" t="s">
        <v>46</v>
      </c>
      <c r="B41" s="43" t="s">
        <v>242</v>
      </c>
      <c r="C41" s="43" t="s">
        <v>431</v>
      </c>
      <c r="D41" s="44">
        <v>1.5900000000000001E-2</v>
      </c>
      <c r="E41" s="43">
        <f>D41</f>
        <v>1.5900000000000001E-2</v>
      </c>
      <c r="F41" s="43">
        <f t="shared" si="11"/>
        <v>-1.5900000000000001E-2</v>
      </c>
      <c r="G41" s="43">
        <f t="shared" si="12"/>
        <v>1.5900000000000001E-2</v>
      </c>
      <c r="H41" s="43" t="s">
        <v>631</v>
      </c>
      <c r="I41" s="43" t="s">
        <v>791</v>
      </c>
      <c r="J41" s="43">
        <f>IFERROR(VALUE(SUBSTITUTE(SUBSTITUTE(Table1[[#This Row],[Volume (24h) USD]],"$",""),",","")),0)</f>
        <v>8143928</v>
      </c>
      <c r="K41" s="43" t="s">
        <v>985</v>
      </c>
      <c r="L41" s="43" t="str">
        <f>IF(OR(LEFT(Table1[[#This Row],[Coin Name]],1)="A",LEFT(Table1[[#This Row],[Coin Name]],1)="E",LEFT(Table1[[#This Row],[Coin Name]],1)="I",LEFT(Table1[[#This Row],[Coin Name]],1)="O",LEFT(Table1[[#This Row],[Coin Name]],1)="U",LEFT(Table1[[#This Row],[Coin Name]],1)="B",LEFT(Table1[[#This Row],[Coin Name]],1)="C",LEFT(Table1[[#This Row],[Coin Name]],1)="D"),"Yes","No")</f>
        <v>No</v>
      </c>
      <c r="M41" s="43">
        <f t="shared" si="13"/>
        <v>1.813E-2</v>
      </c>
      <c r="N41" s="43">
        <f t="shared" si="14"/>
        <v>1.7846244709124912E-2</v>
      </c>
      <c r="O41" s="43" t="str">
        <f t="shared" si="15"/>
        <v>Up to $10</v>
      </c>
      <c r="P41" s="43">
        <f t="shared" si="16"/>
        <v>2.8375529087508802E-4</v>
      </c>
      <c r="Q41" s="43">
        <f t="shared" si="17"/>
        <v>-1.5900000000000001E-2</v>
      </c>
      <c r="R41" s="43" t="str">
        <f t="shared" si="18"/>
        <v>$0-$5</v>
      </c>
      <c r="S41" s="45" t="str">
        <f t="shared" si="19"/>
        <v>&gt;$50</v>
      </c>
    </row>
    <row r="42" spans="1:19" x14ac:dyDescent="0.35">
      <c r="A42" s="43" t="s">
        <v>96</v>
      </c>
      <c r="B42" s="43" t="s">
        <v>292</v>
      </c>
      <c r="C42" s="43" t="s">
        <v>481</v>
      </c>
      <c r="D42" s="44">
        <v>5.4999999999999997E-3</v>
      </c>
      <c r="E42" s="43">
        <f>D42</f>
        <v>5.4999999999999997E-3</v>
      </c>
      <c r="F42" s="43">
        <f t="shared" si="11"/>
        <v>-5.4999999999999997E-3</v>
      </c>
      <c r="G42" s="43">
        <f t="shared" si="12"/>
        <v>5.4999999999999997E-3</v>
      </c>
      <c r="H42" s="43" t="s">
        <v>681</v>
      </c>
      <c r="I42" s="43" t="s">
        <v>841</v>
      </c>
      <c r="J42" s="43">
        <f>IFERROR(VALUE(SUBSTITUTE(SUBSTITUTE(Table1[[#This Row],[Volume (24h) USD]],"$",""),",","")),0)</f>
        <v>7675089</v>
      </c>
      <c r="K42" s="43" t="s">
        <v>1034</v>
      </c>
      <c r="L42" s="43" t="str">
        <f>IF(OR(LEFT(Table1[[#This Row],[Coin Name]],1)="A",LEFT(Table1[[#This Row],[Coin Name]],1)="E",LEFT(Table1[[#This Row],[Coin Name]],1)="I",LEFT(Table1[[#This Row],[Coin Name]],1)="O",LEFT(Table1[[#This Row],[Coin Name]],1)="U",LEFT(Table1[[#This Row],[Coin Name]],1)="B",LEFT(Table1[[#This Row],[Coin Name]],1)="C",LEFT(Table1[[#This Row],[Coin Name]],1)="D"),"Yes","No")</f>
        <v>Yes</v>
      </c>
      <c r="M42" s="43">
        <f t="shared" si="13"/>
        <v>1.3899999999999999E-2</v>
      </c>
      <c r="N42" s="43">
        <f t="shared" si="14"/>
        <v>1.3823968175037293E-2</v>
      </c>
      <c r="O42" s="43" t="str">
        <f t="shared" si="15"/>
        <v>Up to $10</v>
      </c>
      <c r="P42" s="43">
        <f t="shared" si="16"/>
        <v>7.6031824962706496E-5</v>
      </c>
      <c r="Q42" s="43">
        <f t="shared" si="17"/>
        <v>-5.4999999999999997E-3</v>
      </c>
      <c r="R42" s="43" t="str">
        <f t="shared" si="18"/>
        <v>$0-$5</v>
      </c>
      <c r="S42" s="45" t="str">
        <f t="shared" ref="S42:S43" si="20">IF(M42&lt;=0.05,"$0-$0.05",IF(M42&lt;=0.5,"$0.05-$0.5",IF(M42&lt;=5,"$0.5-$5",IF(M42&lt;=50,"$5-$50","&gt;$50"))))</f>
        <v>$0-$0.05</v>
      </c>
    </row>
    <row r="43" spans="1:19" x14ac:dyDescent="0.35">
      <c r="A43" s="43" t="s">
        <v>53</v>
      </c>
      <c r="B43" s="43" t="s">
        <v>249</v>
      </c>
      <c r="C43" s="43" t="s">
        <v>438</v>
      </c>
      <c r="D43" s="44">
        <v>3.4200000000000001E-2</v>
      </c>
      <c r="E43" s="43">
        <f>D43</f>
        <v>3.4200000000000001E-2</v>
      </c>
      <c r="F43" s="43">
        <f t="shared" si="11"/>
        <v>-3.4200000000000001E-2</v>
      </c>
      <c r="G43" s="43">
        <f t="shared" si="12"/>
        <v>3.4200000000000001E-2</v>
      </c>
      <c r="H43" s="43" t="s">
        <v>638</v>
      </c>
      <c r="I43" s="43" t="s">
        <v>798</v>
      </c>
      <c r="J43" s="43">
        <f>IFERROR(VALUE(SUBSTITUTE(SUBSTITUTE(Table1[[#This Row],[Volume (24h) USD]],"$",""),",","")),0)</f>
        <v>7399528</v>
      </c>
      <c r="K43" s="43" t="s">
        <v>992</v>
      </c>
      <c r="L43" s="43" t="str">
        <f>IF(OR(LEFT(Table1[[#This Row],[Coin Name]],1)="A",LEFT(Table1[[#This Row],[Coin Name]],1)="E",LEFT(Table1[[#This Row],[Coin Name]],1)="I",LEFT(Table1[[#This Row],[Coin Name]],1)="O",LEFT(Table1[[#This Row],[Coin Name]],1)="U",LEFT(Table1[[#This Row],[Coin Name]],1)="B",LEFT(Table1[[#This Row],[Coin Name]],1)="C",LEFT(Table1[[#This Row],[Coin Name]],1)="D"),"Yes","No")</f>
        <v>Yes</v>
      </c>
      <c r="M43" s="43">
        <f t="shared" si="13"/>
        <v>3.2290000000000001E-3</v>
      </c>
      <c r="N43" s="43">
        <f t="shared" si="14"/>
        <v>3.1222200734867529E-3</v>
      </c>
      <c r="O43" s="43" t="str">
        <f t="shared" si="15"/>
        <v>Up to $10</v>
      </c>
      <c r="P43" s="43">
        <f t="shared" si="16"/>
        <v>1.0677992651324719E-4</v>
      </c>
      <c r="Q43" s="43">
        <f t="shared" si="17"/>
        <v>-3.4200000000000001E-2</v>
      </c>
      <c r="R43" s="43" t="str">
        <f t="shared" si="18"/>
        <v>$0-$5</v>
      </c>
      <c r="S43" s="45" t="str">
        <f t="shared" si="20"/>
        <v>$0-$0.05</v>
      </c>
    </row>
    <row r="44" spans="1:19" x14ac:dyDescent="0.35">
      <c r="A44" s="43" t="s">
        <v>49</v>
      </c>
      <c r="B44" s="43" t="s">
        <v>245</v>
      </c>
      <c r="C44" s="43" t="s">
        <v>434</v>
      </c>
      <c r="D44" s="44">
        <v>1.8800000000000001E-2</v>
      </c>
      <c r="E44" s="43">
        <f>D44</f>
        <v>1.8800000000000001E-2</v>
      </c>
      <c r="F44" s="43">
        <f t="shared" si="11"/>
        <v>-1.8800000000000001E-2</v>
      </c>
      <c r="G44" s="43">
        <f t="shared" si="12"/>
        <v>1.8800000000000001E-2</v>
      </c>
      <c r="H44" s="43" t="s">
        <v>634</v>
      </c>
      <c r="I44" s="43" t="s">
        <v>794</v>
      </c>
      <c r="J44" s="43">
        <f>IFERROR(VALUE(SUBSTITUTE(SUBSTITUTE(Table1[[#This Row],[Volume (24h) USD]],"$",""),",","")),0)</f>
        <v>15717380</v>
      </c>
      <c r="K44" s="43" t="s">
        <v>988</v>
      </c>
      <c r="L44" s="43" t="str">
        <f>IF(OR(LEFT(Table1[[#This Row],[Coin Name]],1)="A",LEFT(Table1[[#This Row],[Coin Name]],1)="E",LEFT(Table1[[#This Row],[Coin Name]],1)="I",LEFT(Table1[[#This Row],[Coin Name]],1)="O",LEFT(Table1[[#This Row],[Coin Name]],1)="U",LEFT(Table1[[#This Row],[Coin Name]],1)="B",LEFT(Table1[[#This Row],[Coin Name]],1)="C",LEFT(Table1[[#This Row],[Coin Name]],1)="D"),"Yes","No")</f>
        <v>No</v>
      </c>
      <c r="M44" s="43">
        <f t="shared" si="13"/>
        <v>1.5169999999999999E-3</v>
      </c>
      <c r="N44" s="43">
        <f t="shared" si="14"/>
        <v>1.4890066745190419E-3</v>
      </c>
      <c r="O44" s="43" t="str">
        <f t="shared" si="15"/>
        <v>Up to $10</v>
      </c>
      <c r="P44" s="43">
        <f t="shared" si="16"/>
        <v>2.7993325480957969E-5</v>
      </c>
      <c r="Q44" s="43">
        <f t="shared" si="17"/>
        <v>-1.8800000000000001E-2</v>
      </c>
      <c r="R44" s="43" t="str">
        <f t="shared" si="18"/>
        <v>$0-$5</v>
      </c>
      <c r="S44" s="45" t="str">
        <f t="shared" si="19"/>
        <v>&gt;$50</v>
      </c>
    </row>
    <row r="45" spans="1:19" x14ac:dyDescent="0.35">
      <c r="A45" s="43" t="s">
        <v>50</v>
      </c>
      <c r="B45" s="43" t="s">
        <v>246</v>
      </c>
      <c r="C45" s="43" t="s">
        <v>435</v>
      </c>
      <c r="D45" s="44">
        <v>1.4E-3</v>
      </c>
      <c r="E45" s="43">
        <f>D45</f>
        <v>1.4E-3</v>
      </c>
      <c r="F45" s="43">
        <f t="shared" si="11"/>
        <v>-1.4E-3</v>
      </c>
      <c r="G45" s="43">
        <f t="shared" si="12"/>
        <v>1.4E-3</v>
      </c>
      <c r="H45" s="43" t="s">
        <v>635</v>
      </c>
      <c r="I45" s="43" t="s">
        <v>795</v>
      </c>
      <c r="J45" s="43">
        <f>IFERROR(VALUE(SUBSTITUTE(SUBSTITUTE(Table1[[#This Row],[Volume (24h) USD]],"$",""),",","")),0)</f>
        <v>4873644</v>
      </c>
      <c r="K45" s="43" t="s">
        <v>989</v>
      </c>
      <c r="L45" s="43" t="str">
        <f>IF(OR(LEFT(Table1[[#This Row],[Coin Name]],1)="A",LEFT(Table1[[#This Row],[Coin Name]],1)="E",LEFT(Table1[[#This Row],[Coin Name]],1)="I",LEFT(Table1[[#This Row],[Coin Name]],1)="O",LEFT(Table1[[#This Row],[Coin Name]],1)="U",LEFT(Table1[[#This Row],[Coin Name]],1)="B",LEFT(Table1[[#This Row],[Coin Name]],1)="C",LEFT(Table1[[#This Row],[Coin Name]],1)="D"),"Yes","No")</f>
        <v>No</v>
      </c>
      <c r="M45" s="43">
        <f t="shared" si="13"/>
        <v>0.15379999999999999</v>
      </c>
      <c r="N45" s="43">
        <f t="shared" si="14"/>
        <v>0.15358498102656279</v>
      </c>
      <c r="O45" s="43" t="str">
        <f t="shared" si="15"/>
        <v>Up to $10</v>
      </c>
      <c r="P45" s="43">
        <f t="shared" si="16"/>
        <v>2.1501897343720322E-4</v>
      </c>
      <c r="Q45" s="43">
        <f t="shared" si="17"/>
        <v>-1.4E-3</v>
      </c>
      <c r="R45" s="43" t="str">
        <f t="shared" si="18"/>
        <v>$0-$5</v>
      </c>
      <c r="S45" s="45" t="str">
        <f t="shared" si="19"/>
        <v>&gt;$50</v>
      </c>
    </row>
    <row r="46" spans="1:19" x14ac:dyDescent="0.35">
      <c r="A46" s="43" t="s">
        <v>31</v>
      </c>
      <c r="B46" s="43" t="s">
        <v>228</v>
      </c>
      <c r="C46" s="43" t="s">
        <v>416</v>
      </c>
      <c r="D46" s="44">
        <v>1E-4</v>
      </c>
      <c r="E46" s="43">
        <f>D46</f>
        <v>1E-4</v>
      </c>
      <c r="F46" s="43">
        <f t="shared" si="11"/>
        <v>-1E-4</v>
      </c>
      <c r="G46" s="43">
        <f t="shared" si="12"/>
        <v>1E-4</v>
      </c>
      <c r="H46" s="43" t="s">
        <v>616</v>
      </c>
      <c r="I46" s="43" t="s">
        <v>776</v>
      </c>
      <c r="J46" s="43">
        <f>IFERROR(VALUE(SUBSTITUTE(SUBSTITUTE(Table1[[#This Row],[Volume (24h) USD]],"$",""),",","")),0)</f>
        <v>6754108</v>
      </c>
      <c r="K46" s="43" t="s">
        <v>970</v>
      </c>
      <c r="L46" s="43" t="str">
        <f>IF(OR(LEFT(Table1[[#This Row],[Coin Name]],1)="A",LEFT(Table1[[#This Row],[Coin Name]],1)="E",LEFT(Table1[[#This Row],[Coin Name]],1)="I",LEFT(Table1[[#This Row],[Coin Name]],1)="O",LEFT(Table1[[#This Row],[Coin Name]],1)="U",LEFT(Table1[[#This Row],[Coin Name]],1)="B",LEFT(Table1[[#This Row],[Coin Name]],1)="C",LEFT(Table1[[#This Row],[Coin Name]],1)="D"),"Yes","No")</f>
        <v>Yes</v>
      </c>
      <c r="M46" s="43">
        <f t="shared" si="13"/>
        <v>0.99770000000000003</v>
      </c>
      <c r="N46" s="43">
        <f t="shared" si="14"/>
        <v>0.99760023997600245</v>
      </c>
      <c r="O46" s="43" t="str">
        <f t="shared" si="15"/>
        <v>Up to $10</v>
      </c>
      <c r="P46" s="43">
        <f t="shared" si="16"/>
        <v>9.9760023997585989E-5</v>
      </c>
      <c r="Q46" s="43">
        <f t="shared" si="17"/>
        <v>-1E-4</v>
      </c>
      <c r="R46" s="43" t="str">
        <f t="shared" si="18"/>
        <v>$0-$5</v>
      </c>
      <c r="S46" s="45" t="str">
        <f t="shared" ref="S46:S49" si="21">IF(M46&lt;=0.05,"$0-$0.05",IF(M46&lt;=0.5,"$0.05-$0.5",IF(M46&lt;=5,"$0.5-$5",IF(M46&lt;=50,"$5-$50","&gt;$50"))))</f>
        <v>$0.5-$5</v>
      </c>
    </row>
    <row r="47" spans="1:19" x14ac:dyDescent="0.35">
      <c r="A47" s="43" t="s">
        <v>40</v>
      </c>
      <c r="B47" s="43" t="s">
        <v>40</v>
      </c>
      <c r="C47" s="43" t="s">
        <v>425</v>
      </c>
      <c r="D47" s="44">
        <v>9.4999999999999998E-3</v>
      </c>
      <c r="E47" s="43">
        <f>D47</f>
        <v>9.4999999999999998E-3</v>
      </c>
      <c r="F47" s="43">
        <f t="shared" si="11"/>
        <v>-9.4999999999999998E-3</v>
      </c>
      <c r="G47" s="43">
        <f t="shared" si="12"/>
        <v>9.4999999999999998E-3</v>
      </c>
      <c r="H47" s="43" t="s">
        <v>625</v>
      </c>
      <c r="I47" s="43" t="s">
        <v>785</v>
      </c>
      <c r="J47" s="43">
        <f>IFERROR(VALUE(SUBSTITUTE(SUBSTITUTE(Table1[[#This Row],[Volume (24h) USD]],"$",""),",","")),0)</f>
        <v>5574946</v>
      </c>
      <c r="K47" s="43" t="s">
        <v>979</v>
      </c>
      <c r="L47" s="43" t="str">
        <f>IF(OR(LEFT(Table1[[#This Row],[Coin Name]],1)="A",LEFT(Table1[[#This Row],[Coin Name]],1)="E",LEFT(Table1[[#This Row],[Coin Name]],1)="I",LEFT(Table1[[#This Row],[Coin Name]],1)="O",LEFT(Table1[[#This Row],[Coin Name]],1)="U",LEFT(Table1[[#This Row],[Coin Name]],1)="B",LEFT(Table1[[#This Row],[Coin Name]],1)="C",LEFT(Table1[[#This Row],[Coin Name]],1)="D"),"Yes","No")</f>
        <v>Yes</v>
      </c>
      <c r="M47" s="43">
        <f t="shared" si="13"/>
        <v>5.0279999999999998E-2</v>
      </c>
      <c r="N47" s="43">
        <f t="shared" si="14"/>
        <v>4.9806835066864778E-2</v>
      </c>
      <c r="O47" s="43" t="str">
        <f t="shared" si="15"/>
        <v>Up to $10</v>
      </c>
      <c r="P47" s="43">
        <f t="shared" si="16"/>
        <v>4.7316493313522001E-4</v>
      </c>
      <c r="Q47" s="43">
        <f t="shared" si="17"/>
        <v>-9.4999999999999998E-3</v>
      </c>
      <c r="R47" s="43" t="str">
        <f t="shared" si="18"/>
        <v>$0-$5</v>
      </c>
      <c r="S47" s="45" t="str">
        <f t="shared" si="21"/>
        <v>$0.05-$0.5</v>
      </c>
    </row>
    <row r="48" spans="1:19" x14ac:dyDescent="0.35">
      <c r="A48" s="43" t="s">
        <v>69</v>
      </c>
      <c r="B48" s="43" t="s">
        <v>265</v>
      </c>
      <c r="C48" s="43" t="s">
        <v>454</v>
      </c>
      <c r="D48" s="44">
        <v>4.8999999999999998E-3</v>
      </c>
      <c r="E48" s="43">
        <f>D48</f>
        <v>4.8999999999999998E-3</v>
      </c>
      <c r="F48" s="43">
        <f t="shared" si="11"/>
        <v>-4.8999999999999998E-3</v>
      </c>
      <c r="G48" s="43">
        <f t="shared" si="12"/>
        <v>4.8999999999999998E-3</v>
      </c>
      <c r="H48" s="43" t="s">
        <v>654</v>
      </c>
      <c r="I48" s="43" t="s">
        <v>814</v>
      </c>
      <c r="J48" s="43">
        <f>IFERROR(VALUE(SUBSTITUTE(SUBSTITUTE(Table1[[#This Row],[Volume (24h) USD]],"$",""),",","")),0)</f>
        <v>5008504</v>
      </c>
      <c r="K48" s="43" t="s">
        <v>1008</v>
      </c>
      <c r="L48" s="43" t="str">
        <f>IF(OR(LEFT(Table1[[#This Row],[Coin Name]],1)="A",LEFT(Table1[[#This Row],[Coin Name]],1)="E",LEFT(Table1[[#This Row],[Coin Name]],1)="I",LEFT(Table1[[#This Row],[Coin Name]],1)="O",LEFT(Table1[[#This Row],[Coin Name]],1)="U",LEFT(Table1[[#This Row],[Coin Name]],1)="B",LEFT(Table1[[#This Row],[Coin Name]],1)="C",LEFT(Table1[[#This Row],[Coin Name]],1)="D"),"Yes","No")</f>
        <v>Yes</v>
      </c>
      <c r="M48" s="43">
        <f t="shared" si="13"/>
        <v>0.53610000000000002</v>
      </c>
      <c r="N48" s="43">
        <f t="shared" si="14"/>
        <v>0.53348591899691522</v>
      </c>
      <c r="O48" s="43" t="str">
        <f t="shared" si="15"/>
        <v>Up to $10</v>
      </c>
      <c r="P48" s="43">
        <f t="shared" si="16"/>
        <v>2.6140810030848005E-3</v>
      </c>
      <c r="Q48" s="43">
        <f t="shared" si="17"/>
        <v>-4.8999999999999998E-3</v>
      </c>
      <c r="R48" s="43" t="str">
        <f t="shared" si="18"/>
        <v>$0-$5</v>
      </c>
      <c r="S48" s="45" t="str">
        <f t="shared" si="21"/>
        <v>$0.5-$5</v>
      </c>
    </row>
    <row r="49" spans="1:19" x14ac:dyDescent="0.35">
      <c r="A49" s="43" t="s">
        <v>37</v>
      </c>
      <c r="B49" s="43" t="s">
        <v>234</v>
      </c>
      <c r="C49" s="43" t="s">
        <v>422</v>
      </c>
      <c r="D49" s="44">
        <v>1.14E-2</v>
      </c>
      <c r="E49" s="43">
        <f>D49</f>
        <v>1.14E-2</v>
      </c>
      <c r="F49" s="43">
        <f t="shared" si="11"/>
        <v>-1.14E-2</v>
      </c>
      <c r="G49" s="43">
        <f t="shared" si="12"/>
        <v>1.14E-2</v>
      </c>
      <c r="H49" s="43" t="s">
        <v>622</v>
      </c>
      <c r="I49" s="43" t="s">
        <v>782</v>
      </c>
      <c r="J49" s="43">
        <f>IFERROR(VALUE(SUBSTITUTE(SUBSTITUTE(Table1[[#This Row],[Volume (24h) USD]],"$",""),",","")),0)</f>
        <v>4884866</v>
      </c>
      <c r="K49" s="43" t="s">
        <v>976</v>
      </c>
      <c r="L49" s="43" t="str">
        <f>IF(OR(LEFT(Table1[[#This Row],[Coin Name]],1)="A",LEFT(Table1[[#This Row],[Coin Name]],1)="E",LEFT(Table1[[#This Row],[Coin Name]],1)="I",LEFT(Table1[[#This Row],[Coin Name]],1)="O",LEFT(Table1[[#This Row],[Coin Name]],1)="U",LEFT(Table1[[#This Row],[Coin Name]],1)="B",LEFT(Table1[[#This Row],[Coin Name]],1)="C",LEFT(Table1[[#This Row],[Coin Name]],1)="D"),"Yes","No")</f>
        <v>Yes</v>
      </c>
      <c r="M49" s="43">
        <f t="shared" si="13"/>
        <v>0.1205</v>
      </c>
      <c r="N49" s="43">
        <f t="shared" si="14"/>
        <v>0.11914178366620524</v>
      </c>
      <c r="O49" s="43" t="str">
        <f t="shared" si="15"/>
        <v>Up to $10</v>
      </c>
      <c r="P49" s="43">
        <f t="shared" si="16"/>
        <v>1.3582163337947512E-3</v>
      </c>
      <c r="Q49" s="43">
        <f t="shared" si="17"/>
        <v>-1.14E-2</v>
      </c>
      <c r="R49" s="43" t="str">
        <f t="shared" si="18"/>
        <v>$0-$5</v>
      </c>
      <c r="S49" s="45" t="str">
        <f t="shared" si="21"/>
        <v>$0.05-$0.5</v>
      </c>
    </row>
    <row r="50" spans="1:19" x14ac:dyDescent="0.35">
      <c r="A50" s="43" t="s">
        <v>55</v>
      </c>
      <c r="B50" s="43" t="s">
        <v>251</v>
      </c>
      <c r="C50" s="43" t="s">
        <v>440</v>
      </c>
      <c r="D50" s="44">
        <v>2.4400000000000002E-2</v>
      </c>
      <c r="E50" s="43">
        <f>D50</f>
        <v>2.4400000000000002E-2</v>
      </c>
      <c r="F50" s="43">
        <f t="shared" si="11"/>
        <v>-2.4400000000000002E-2</v>
      </c>
      <c r="G50" s="43">
        <f t="shared" si="12"/>
        <v>2.4400000000000002E-2</v>
      </c>
      <c r="H50" s="43" t="s">
        <v>640</v>
      </c>
      <c r="I50" s="43" t="s">
        <v>800</v>
      </c>
      <c r="J50" s="43">
        <f>IFERROR(VALUE(SUBSTITUTE(SUBSTITUTE(Table1[[#This Row],[Volume (24h) USD]],"$",""),",","")),0)</f>
        <v>135025163</v>
      </c>
      <c r="K50" s="43" t="s">
        <v>994</v>
      </c>
      <c r="L50" s="43" t="str">
        <f>IF(OR(LEFT(Table1[[#This Row],[Coin Name]],1)="A",LEFT(Table1[[#This Row],[Coin Name]],1)="E",LEFT(Table1[[#This Row],[Coin Name]],1)="I",LEFT(Table1[[#This Row],[Coin Name]],1)="O",LEFT(Table1[[#This Row],[Coin Name]],1)="U",LEFT(Table1[[#This Row],[Coin Name]],1)="B",LEFT(Table1[[#This Row],[Coin Name]],1)="C",LEFT(Table1[[#This Row],[Coin Name]],1)="D"),"Yes","No")</f>
        <v>No</v>
      </c>
      <c r="M50" s="43">
        <f t="shared" si="13"/>
        <v>4.2049999999999997E-2</v>
      </c>
      <c r="N50" s="43">
        <f t="shared" si="14"/>
        <v>4.1048418586489652E-2</v>
      </c>
      <c r="O50" s="43" t="str">
        <f t="shared" si="15"/>
        <v>Up to $10</v>
      </c>
      <c r="P50" s="43">
        <f t="shared" si="16"/>
        <v>1.0015814135103454E-3</v>
      </c>
      <c r="Q50" s="43">
        <f t="shared" si="17"/>
        <v>-2.4400000000000002E-2</v>
      </c>
      <c r="R50" s="43" t="str">
        <f t="shared" si="18"/>
        <v>$0-$5</v>
      </c>
      <c r="S50" s="45" t="str">
        <f t="shared" si="19"/>
        <v>&gt;$50</v>
      </c>
    </row>
    <row r="51" spans="1:19" x14ac:dyDescent="0.35">
      <c r="A51" s="43" t="s">
        <v>56</v>
      </c>
      <c r="B51" s="43" t="s">
        <v>252</v>
      </c>
      <c r="C51" s="43" t="s">
        <v>441</v>
      </c>
      <c r="D51" s="44">
        <v>2.0000000000000001E-4</v>
      </c>
      <c r="E51" s="43">
        <f>D51</f>
        <v>2.0000000000000001E-4</v>
      </c>
      <c r="F51" s="43">
        <f t="shared" si="11"/>
        <v>-2.0000000000000001E-4</v>
      </c>
      <c r="G51" s="43">
        <f t="shared" si="12"/>
        <v>2.0000000000000001E-4</v>
      </c>
      <c r="H51" s="43" t="s">
        <v>641</v>
      </c>
      <c r="I51" s="43" t="s">
        <v>801</v>
      </c>
      <c r="J51" s="43">
        <f>IFERROR(VALUE(SUBSTITUTE(SUBSTITUTE(Table1[[#This Row],[Volume (24h) USD]],"$",""),",","")),0)</f>
        <v>12909</v>
      </c>
      <c r="K51" s="43" t="s">
        <v>995</v>
      </c>
      <c r="L51" s="43" t="str">
        <f>IF(OR(LEFT(Table1[[#This Row],[Coin Name]],1)="A",LEFT(Table1[[#This Row],[Coin Name]],1)="E",LEFT(Table1[[#This Row],[Coin Name]],1)="I",LEFT(Table1[[#This Row],[Coin Name]],1)="O",LEFT(Table1[[#This Row],[Coin Name]],1)="U",LEFT(Table1[[#This Row],[Coin Name]],1)="B",LEFT(Table1[[#This Row],[Coin Name]],1)="C",LEFT(Table1[[#This Row],[Coin Name]],1)="D"),"Yes","No")</f>
        <v>No</v>
      </c>
      <c r="M51" s="43">
        <f t="shared" si="13"/>
        <v>5.9470000000000002E-2</v>
      </c>
      <c r="N51" s="43">
        <f t="shared" si="14"/>
        <v>5.945810837832434E-2</v>
      </c>
      <c r="O51" s="43" t="str">
        <f t="shared" si="15"/>
        <v>Up to $10</v>
      </c>
      <c r="P51" s="43">
        <f t="shared" si="16"/>
        <v>1.1891621675662323E-5</v>
      </c>
      <c r="Q51" s="43">
        <f t="shared" si="17"/>
        <v>-2.0000000000000001E-4</v>
      </c>
      <c r="R51" s="43" t="str">
        <f t="shared" si="18"/>
        <v>$0-$5</v>
      </c>
      <c r="S51" s="45" t="str">
        <f t="shared" si="19"/>
        <v>&gt;$50</v>
      </c>
    </row>
    <row r="52" spans="1:19" x14ac:dyDescent="0.35">
      <c r="A52" s="43" t="s">
        <v>57</v>
      </c>
      <c r="B52" s="43" t="s">
        <v>253</v>
      </c>
      <c r="C52" s="43" t="s">
        <v>442</v>
      </c>
      <c r="D52" s="44">
        <v>5.3E-3</v>
      </c>
      <c r="E52" s="43">
        <f>D52</f>
        <v>5.3E-3</v>
      </c>
      <c r="F52" s="43">
        <f t="shared" si="11"/>
        <v>-5.3E-3</v>
      </c>
      <c r="G52" s="43">
        <f t="shared" si="12"/>
        <v>5.3E-3</v>
      </c>
      <c r="H52" s="43" t="s">
        <v>642</v>
      </c>
      <c r="I52" s="43" t="s">
        <v>802</v>
      </c>
      <c r="J52" s="43">
        <f>IFERROR(VALUE(SUBSTITUTE(SUBSTITUTE(Table1[[#This Row],[Volume (24h) USD]],"$",""),",","")),0)</f>
        <v>16850030</v>
      </c>
      <c r="K52" s="43" t="s">
        <v>996</v>
      </c>
      <c r="L52" s="43" t="str">
        <f>IF(OR(LEFT(Table1[[#This Row],[Coin Name]],1)="A",LEFT(Table1[[#This Row],[Coin Name]],1)="E",LEFT(Table1[[#This Row],[Coin Name]],1)="I",LEFT(Table1[[#This Row],[Coin Name]],1)="O",LEFT(Table1[[#This Row],[Coin Name]],1)="U",LEFT(Table1[[#This Row],[Coin Name]],1)="B",LEFT(Table1[[#This Row],[Coin Name]],1)="C",LEFT(Table1[[#This Row],[Coin Name]],1)="D"),"Yes","No")</f>
        <v>No</v>
      </c>
      <c r="M52" s="43">
        <f t="shared" si="13"/>
        <v>6.2719999999999998E-3</v>
      </c>
      <c r="N52" s="43">
        <f t="shared" si="14"/>
        <v>6.2389336516462737E-3</v>
      </c>
      <c r="O52" s="43" t="str">
        <f t="shared" si="15"/>
        <v>Up to $10</v>
      </c>
      <c r="P52" s="43">
        <f t="shared" si="16"/>
        <v>3.3066348353726072E-5</v>
      </c>
      <c r="Q52" s="43">
        <f t="shared" si="17"/>
        <v>-5.3E-3</v>
      </c>
      <c r="R52" s="43" t="str">
        <f t="shared" si="18"/>
        <v>$0-$5</v>
      </c>
      <c r="S52" s="45" t="str">
        <f t="shared" si="19"/>
        <v>&gt;$50</v>
      </c>
    </row>
    <row r="53" spans="1:19" x14ac:dyDescent="0.35">
      <c r="A53" s="43" t="s">
        <v>58</v>
      </c>
      <c r="B53" s="43" t="s">
        <v>254</v>
      </c>
      <c r="C53" s="43" t="s">
        <v>443</v>
      </c>
      <c r="D53" s="44">
        <v>1.32E-2</v>
      </c>
      <c r="E53" s="43">
        <f>D53</f>
        <v>1.32E-2</v>
      </c>
      <c r="F53" s="43">
        <f t="shared" si="11"/>
        <v>-1.32E-2</v>
      </c>
      <c r="G53" s="43">
        <f t="shared" si="12"/>
        <v>1.32E-2</v>
      </c>
      <c r="H53" s="43" t="s">
        <v>643</v>
      </c>
      <c r="I53" s="43" t="s">
        <v>803</v>
      </c>
      <c r="J53" s="43">
        <f>IFERROR(VALUE(SUBSTITUTE(SUBSTITUTE(Table1[[#This Row],[Volume (24h) USD]],"$",""),",","")),0)</f>
        <v>448016</v>
      </c>
      <c r="K53" s="43" t="s">
        <v>997</v>
      </c>
      <c r="L53" s="43" t="str">
        <f>IF(OR(LEFT(Table1[[#This Row],[Coin Name]],1)="A",LEFT(Table1[[#This Row],[Coin Name]],1)="E",LEFT(Table1[[#This Row],[Coin Name]],1)="I",LEFT(Table1[[#This Row],[Coin Name]],1)="O",LEFT(Table1[[#This Row],[Coin Name]],1)="U",LEFT(Table1[[#This Row],[Coin Name]],1)="B",LEFT(Table1[[#This Row],[Coin Name]],1)="C",LEFT(Table1[[#This Row],[Coin Name]],1)="D"),"Yes","No")</f>
        <v>No</v>
      </c>
      <c r="M53" s="43">
        <f t="shared" si="13"/>
        <v>6.6350000000000003E-3</v>
      </c>
      <c r="N53" s="43">
        <f t="shared" si="14"/>
        <v>6.548559020923805E-3</v>
      </c>
      <c r="O53" s="43" t="str">
        <f t="shared" si="15"/>
        <v>Up to $10</v>
      </c>
      <c r="P53" s="43">
        <f t="shared" si="16"/>
        <v>8.6440979076195246E-5</v>
      </c>
      <c r="Q53" s="43">
        <f t="shared" si="17"/>
        <v>-1.32E-2</v>
      </c>
      <c r="R53" s="43" t="str">
        <f t="shared" si="18"/>
        <v>$0-$5</v>
      </c>
      <c r="S53" s="45" t="str">
        <f t="shared" si="19"/>
        <v>&gt;$50</v>
      </c>
    </row>
    <row r="54" spans="1:19" x14ac:dyDescent="0.35">
      <c r="A54" s="43" t="s">
        <v>85</v>
      </c>
      <c r="B54" s="43" t="s">
        <v>281</v>
      </c>
      <c r="C54" s="43" t="s">
        <v>470</v>
      </c>
      <c r="D54" s="44">
        <v>1.8E-3</v>
      </c>
      <c r="E54" s="43">
        <f>D54</f>
        <v>1.8E-3</v>
      </c>
      <c r="F54" s="43">
        <f t="shared" si="11"/>
        <v>-1.8E-3</v>
      </c>
      <c r="G54" s="43">
        <f t="shared" si="12"/>
        <v>1.8E-3</v>
      </c>
      <c r="H54" s="43" t="s">
        <v>670</v>
      </c>
      <c r="I54" s="43" t="s">
        <v>830</v>
      </c>
      <c r="J54" s="43">
        <f>IFERROR(VALUE(SUBSTITUTE(SUBSTITUTE(Table1[[#This Row],[Volume (24h) USD]],"$",""),",","")),0)</f>
        <v>3675488</v>
      </c>
      <c r="K54" s="43" t="s">
        <v>1024</v>
      </c>
      <c r="L54" s="43" t="str">
        <f>IF(OR(LEFT(Table1[[#This Row],[Coin Name]],1)="A",LEFT(Table1[[#This Row],[Coin Name]],1)="E",LEFT(Table1[[#This Row],[Coin Name]],1)="I",LEFT(Table1[[#This Row],[Coin Name]],1)="O",LEFT(Table1[[#This Row],[Coin Name]],1)="U",LEFT(Table1[[#This Row],[Coin Name]],1)="B",LEFT(Table1[[#This Row],[Coin Name]],1)="C",LEFT(Table1[[#This Row],[Coin Name]],1)="D"),"Yes","No")</f>
        <v>Yes</v>
      </c>
      <c r="M54" s="43">
        <f t="shared" si="13"/>
        <v>0.18410000000000001</v>
      </c>
      <c r="N54" s="43">
        <f t="shared" si="14"/>
        <v>0.18376921541225794</v>
      </c>
      <c r="O54" s="43" t="str">
        <f t="shared" si="15"/>
        <v>Up to $10</v>
      </c>
      <c r="P54" s="43">
        <f t="shared" si="16"/>
        <v>3.3078458774207786E-4</v>
      </c>
      <c r="Q54" s="43">
        <f t="shared" si="17"/>
        <v>-1.8E-3</v>
      </c>
      <c r="R54" s="43" t="str">
        <f t="shared" si="18"/>
        <v>$0-$5</v>
      </c>
      <c r="S54" s="45" t="str">
        <f>IF(M54&lt;=0.05,"$0-$0.05",IF(M54&lt;=0.5,"$0.05-$0.5",IF(M54&lt;=5,"$0.5-$5",IF(M54&lt;=50,"$5-$50","&gt;$50"))))</f>
        <v>$0.05-$0.5</v>
      </c>
    </row>
    <row r="55" spans="1:19" x14ac:dyDescent="0.35">
      <c r="A55" s="43" t="s">
        <v>60</v>
      </c>
      <c r="B55" s="43" t="s">
        <v>256</v>
      </c>
      <c r="C55" s="43" t="s">
        <v>445</v>
      </c>
      <c r="D55" s="44">
        <v>1.5299999999999999E-2</v>
      </c>
      <c r="E55" s="43">
        <f>D55</f>
        <v>1.5299999999999999E-2</v>
      </c>
      <c r="F55" s="43">
        <f t="shared" si="11"/>
        <v>-1.5299999999999999E-2</v>
      </c>
      <c r="G55" s="43">
        <f t="shared" si="12"/>
        <v>1.5299999999999999E-2</v>
      </c>
      <c r="H55" s="43" t="s">
        <v>645</v>
      </c>
      <c r="I55" s="43" t="s">
        <v>805</v>
      </c>
      <c r="J55" s="43">
        <f>IFERROR(VALUE(SUBSTITUTE(SUBSTITUTE(Table1[[#This Row],[Volume (24h) USD]],"$",""),",","")),0)</f>
        <v>5590436</v>
      </c>
      <c r="K55" s="43" t="s">
        <v>999</v>
      </c>
      <c r="L55" s="43" t="str">
        <f>IF(OR(LEFT(Table1[[#This Row],[Coin Name]],1)="A",LEFT(Table1[[#This Row],[Coin Name]],1)="E",LEFT(Table1[[#This Row],[Coin Name]],1)="I",LEFT(Table1[[#This Row],[Coin Name]],1)="O",LEFT(Table1[[#This Row],[Coin Name]],1)="U",LEFT(Table1[[#This Row],[Coin Name]],1)="B",LEFT(Table1[[#This Row],[Coin Name]],1)="C",LEFT(Table1[[#This Row],[Coin Name]],1)="D"),"Yes","No")</f>
        <v>No</v>
      </c>
      <c r="M55" s="43">
        <f t="shared" si="13"/>
        <v>1.253E-3</v>
      </c>
      <c r="N55" s="43">
        <f t="shared" si="14"/>
        <v>1.2341179946813749E-3</v>
      </c>
      <c r="O55" s="43" t="str">
        <f t="shared" si="15"/>
        <v>Up to $10</v>
      </c>
      <c r="P55" s="43">
        <f t="shared" si="16"/>
        <v>1.8882005318625111E-5</v>
      </c>
      <c r="Q55" s="43">
        <f t="shared" si="17"/>
        <v>-1.5299999999999999E-2</v>
      </c>
      <c r="R55" s="43" t="str">
        <f t="shared" si="18"/>
        <v>$0-$5</v>
      </c>
      <c r="S55" s="45" t="str">
        <f t="shared" si="19"/>
        <v>&gt;$50</v>
      </c>
    </row>
    <row r="56" spans="1:19" x14ac:dyDescent="0.35">
      <c r="A56" s="43" t="s">
        <v>61</v>
      </c>
      <c r="B56" s="43" t="s">
        <v>257</v>
      </c>
      <c r="C56" s="43" t="s">
        <v>446</v>
      </c>
      <c r="D56" s="44">
        <v>9.1999999999999998E-3</v>
      </c>
      <c r="E56" s="43">
        <f>D56</f>
        <v>9.1999999999999998E-3</v>
      </c>
      <c r="F56" s="43">
        <f t="shared" si="11"/>
        <v>-9.1999999999999998E-3</v>
      </c>
      <c r="G56" s="43">
        <f t="shared" si="12"/>
        <v>9.1999999999999998E-3</v>
      </c>
      <c r="H56" s="43" t="s">
        <v>646</v>
      </c>
      <c r="I56" s="43" t="s">
        <v>806</v>
      </c>
      <c r="J56" s="43">
        <f>IFERROR(VALUE(SUBSTITUTE(SUBSTITUTE(Table1[[#This Row],[Volume (24h) USD]],"$",""),",","")),0)</f>
        <v>2536218</v>
      </c>
      <c r="K56" s="43" t="s">
        <v>1000</v>
      </c>
      <c r="L56" s="43" t="str">
        <f>IF(OR(LEFT(Table1[[#This Row],[Coin Name]],1)="A",LEFT(Table1[[#This Row],[Coin Name]],1)="E",LEFT(Table1[[#This Row],[Coin Name]],1)="I",LEFT(Table1[[#This Row],[Coin Name]],1)="O",LEFT(Table1[[#This Row],[Coin Name]],1)="U",LEFT(Table1[[#This Row],[Coin Name]],1)="B",LEFT(Table1[[#This Row],[Coin Name]],1)="C",LEFT(Table1[[#This Row],[Coin Name]],1)="D"),"Yes","No")</f>
        <v>No</v>
      </c>
      <c r="M56" s="43">
        <f t="shared" si="13"/>
        <v>8.6260000000000003E-2</v>
      </c>
      <c r="N56" s="43">
        <f t="shared" si="14"/>
        <v>8.5473642489100277E-2</v>
      </c>
      <c r="O56" s="43" t="str">
        <f t="shared" si="15"/>
        <v>Up to $10</v>
      </c>
      <c r="P56" s="43">
        <f t="shared" si="16"/>
        <v>7.8635751089972672E-4</v>
      </c>
      <c r="Q56" s="43">
        <f t="shared" si="17"/>
        <v>-9.1999999999999998E-3</v>
      </c>
      <c r="R56" s="43" t="str">
        <f t="shared" si="18"/>
        <v>$0-$5</v>
      </c>
      <c r="S56" s="45" t="str">
        <f t="shared" si="19"/>
        <v>&gt;$50</v>
      </c>
    </row>
    <row r="57" spans="1:19" x14ac:dyDescent="0.35">
      <c r="A57" s="43" t="s">
        <v>101</v>
      </c>
      <c r="B57" s="43" t="s">
        <v>297</v>
      </c>
      <c r="C57" s="43" t="s">
        <v>486</v>
      </c>
      <c r="D57" s="44">
        <v>1.1000000000000001E-3</v>
      </c>
      <c r="E57" s="43">
        <f>D57</f>
        <v>1.1000000000000001E-3</v>
      </c>
      <c r="F57" s="43">
        <f t="shared" si="11"/>
        <v>-1.1000000000000001E-3</v>
      </c>
      <c r="G57" s="43">
        <f t="shared" si="12"/>
        <v>1.1000000000000001E-3</v>
      </c>
      <c r="H57" s="43" t="s">
        <v>686</v>
      </c>
      <c r="I57" s="43" t="s">
        <v>846</v>
      </c>
      <c r="J57" s="43">
        <f>IFERROR(VALUE(SUBSTITUTE(SUBSTITUTE(Table1[[#This Row],[Volume (24h) USD]],"$",""),",","")),0)</f>
        <v>3645223</v>
      </c>
      <c r="K57" s="43" t="s">
        <v>1039</v>
      </c>
      <c r="L57" s="43" t="str">
        <f>IF(OR(LEFT(Table1[[#This Row],[Coin Name]],1)="A",LEFT(Table1[[#This Row],[Coin Name]],1)="E",LEFT(Table1[[#This Row],[Coin Name]],1)="I",LEFT(Table1[[#This Row],[Coin Name]],1)="O",LEFT(Table1[[#This Row],[Coin Name]],1)="U",LEFT(Table1[[#This Row],[Coin Name]],1)="B",LEFT(Table1[[#This Row],[Coin Name]],1)="C",LEFT(Table1[[#This Row],[Coin Name]],1)="D"),"Yes","No")</f>
        <v>Yes</v>
      </c>
      <c r="M57" s="43">
        <f t="shared" si="13"/>
        <v>6.6669999999999993E-2</v>
      </c>
      <c r="N57" s="43">
        <f t="shared" si="14"/>
        <v>6.659674358205972E-2</v>
      </c>
      <c r="O57" s="43" t="str">
        <f t="shared" si="15"/>
        <v>Up to $10</v>
      </c>
      <c r="P57" s="43">
        <f t="shared" si="16"/>
        <v>7.3256417940273377E-5</v>
      </c>
      <c r="Q57" s="43">
        <f t="shared" si="17"/>
        <v>-1.1000000000000001E-3</v>
      </c>
      <c r="R57" s="43" t="str">
        <f t="shared" si="18"/>
        <v>$0-$5</v>
      </c>
      <c r="S57" s="45" t="str">
        <f t="shared" ref="S57:S58" si="22">IF(M57&lt;=0.05,"$0-$0.05",IF(M57&lt;=0.5,"$0.05-$0.5",IF(M57&lt;=5,"$0.5-$5",IF(M57&lt;=50,"$5-$50","&gt;$50"))))</f>
        <v>$0.05-$0.5</v>
      </c>
    </row>
    <row r="58" spans="1:19" x14ac:dyDescent="0.35">
      <c r="A58" s="43" t="s">
        <v>73</v>
      </c>
      <c r="B58" s="43" t="s">
        <v>269</v>
      </c>
      <c r="C58" s="43" t="s">
        <v>458</v>
      </c>
      <c r="D58" s="44">
        <v>4.4000000000000003E-3</v>
      </c>
      <c r="E58" s="43">
        <f>D58</f>
        <v>4.4000000000000003E-3</v>
      </c>
      <c r="F58" s="43">
        <f t="shared" si="11"/>
        <v>-4.4000000000000003E-3</v>
      </c>
      <c r="G58" s="43">
        <f t="shared" si="12"/>
        <v>4.4000000000000003E-3</v>
      </c>
      <c r="H58" s="43" t="s">
        <v>658</v>
      </c>
      <c r="I58" s="43" t="s">
        <v>818</v>
      </c>
      <c r="J58" s="43">
        <f>IFERROR(VALUE(SUBSTITUTE(SUBSTITUTE(Table1[[#This Row],[Volume (24h) USD]],"$",""),",","")),0)</f>
        <v>2914375</v>
      </c>
      <c r="K58" s="43" t="s">
        <v>1012</v>
      </c>
      <c r="L58" s="43" t="str">
        <f>IF(OR(LEFT(Table1[[#This Row],[Coin Name]],1)="A",LEFT(Table1[[#This Row],[Coin Name]],1)="E",LEFT(Table1[[#This Row],[Coin Name]],1)="I",LEFT(Table1[[#This Row],[Coin Name]],1)="O",LEFT(Table1[[#This Row],[Coin Name]],1)="U",LEFT(Table1[[#This Row],[Coin Name]],1)="B",LEFT(Table1[[#This Row],[Coin Name]],1)="C",LEFT(Table1[[#This Row],[Coin Name]],1)="D"),"Yes","No")</f>
        <v>Yes</v>
      </c>
      <c r="M58" s="43">
        <f t="shared" si="13"/>
        <v>2.5299999999999998</v>
      </c>
      <c r="N58" s="43">
        <f t="shared" si="14"/>
        <v>2.5189167662285943</v>
      </c>
      <c r="O58" s="43" t="str">
        <f t="shared" si="15"/>
        <v>Up to $10</v>
      </c>
      <c r="P58" s="43">
        <f t="shared" si="16"/>
        <v>1.1083233771405521E-2</v>
      </c>
      <c r="Q58" s="43">
        <f t="shared" si="17"/>
        <v>-4.4000000000000003E-3</v>
      </c>
      <c r="R58" s="43" t="str">
        <f t="shared" si="18"/>
        <v>$0-$5</v>
      </c>
      <c r="S58" s="45" t="str">
        <f t="shared" si="22"/>
        <v>$0.5-$5</v>
      </c>
    </row>
    <row r="59" spans="1:19" x14ac:dyDescent="0.35">
      <c r="A59" s="43" t="s">
        <v>64</v>
      </c>
      <c r="B59" s="43" t="s">
        <v>260</v>
      </c>
      <c r="C59" s="43" t="s">
        <v>449</v>
      </c>
      <c r="D59" s="44">
        <v>4.4999999999999997E-3</v>
      </c>
      <c r="E59" s="43">
        <f>D59</f>
        <v>4.4999999999999997E-3</v>
      </c>
      <c r="F59" s="43">
        <f t="shared" si="11"/>
        <v>-4.4999999999999997E-3</v>
      </c>
      <c r="G59" s="43">
        <f t="shared" si="12"/>
        <v>4.4999999999999997E-3</v>
      </c>
      <c r="H59" s="43" t="s">
        <v>649</v>
      </c>
      <c r="I59" s="43" t="s">
        <v>809</v>
      </c>
      <c r="J59" s="43">
        <f>IFERROR(VALUE(SUBSTITUTE(SUBSTITUTE(Table1[[#This Row],[Volume (24h) USD]],"$",""),",","")),0)</f>
        <v>3358220</v>
      </c>
      <c r="K59" s="43" t="s">
        <v>1003</v>
      </c>
      <c r="L59" s="43" t="str">
        <f>IF(OR(LEFT(Table1[[#This Row],[Coin Name]],1)="A",LEFT(Table1[[#This Row],[Coin Name]],1)="E",LEFT(Table1[[#This Row],[Coin Name]],1)="I",LEFT(Table1[[#This Row],[Coin Name]],1)="O",LEFT(Table1[[#This Row],[Coin Name]],1)="U",LEFT(Table1[[#This Row],[Coin Name]],1)="B",LEFT(Table1[[#This Row],[Coin Name]],1)="C",LEFT(Table1[[#This Row],[Coin Name]],1)="D"),"Yes","No")</f>
        <v>No</v>
      </c>
      <c r="M59" s="43">
        <f t="shared" si="13"/>
        <v>2.875E-3</v>
      </c>
      <c r="N59" s="43">
        <f t="shared" si="14"/>
        <v>2.8621204579392734E-3</v>
      </c>
      <c r="O59" s="43" t="str">
        <f t="shared" si="15"/>
        <v>Up to $10</v>
      </c>
      <c r="P59" s="43">
        <f t="shared" si="16"/>
        <v>1.2879542060726529E-5</v>
      </c>
      <c r="Q59" s="43">
        <f t="shared" si="17"/>
        <v>-4.4999999999999997E-3</v>
      </c>
      <c r="R59" s="43" t="str">
        <f t="shared" si="18"/>
        <v>$0-$5</v>
      </c>
      <c r="S59" s="45" t="str">
        <f t="shared" si="19"/>
        <v>&gt;$50</v>
      </c>
    </row>
    <row r="60" spans="1:19" x14ac:dyDescent="0.35">
      <c r="A60" s="43" t="s">
        <v>65</v>
      </c>
      <c r="B60" s="43" t="s">
        <v>261</v>
      </c>
      <c r="C60" s="43" t="s">
        <v>450</v>
      </c>
      <c r="D60" s="44">
        <v>1E-3</v>
      </c>
      <c r="E60" s="43">
        <f>D60</f>
        <v>1E-3</v>
      </c>
      <c r="F60" s="43">
        <f t="shared" si="11"/>
        <v>-1E-3</v>
      </c>
      <c r="G60" s="43">
        <f t="shared" si="12"/>
        <v>1E-3</v>
      </c>
      <c r="H60" s="43" t="s">
        <v>650</v>
      </c>
      <c r="I60" s="43" t="s">
        <v>810</v>
      </c>
      <c r="J60" s="43">
        <f>IFERROR(VALUE(SUBSTITUTE(SUBSTITUTE(Table1[[#This Row],[Volume (24h) USD]],"$",""),",","")),0)</f>
        <v>101491</v>
      </c>
      <c r="K60" s="43" t="s">
        <v>1004</v>
      </c>
      <c r="L60" s="43" t="str">
        <f>IF(OR(LEFT(Table1[[#This Row],[Coin Name]],1)="A",LEFT(Table1[[#This Row],[Coin Name]],1)="E",LEFT(Table1[[#This Row],[Coin Name]],1)="I",LEFT(Table1[[#This Row],[Coin Name]],1)="O",LEFT(Table1[[#This Row],[Coin Name]],1)="U",LEFT(Table1[[#This Row],[Coin Name]],1)="B",LEFT(Table1[[#This Row],[Coin Name]],1)="C",LEFT(Table1[[#This Row],[Coin Name]],1)="D"),"Yes","No")</f>
        <v>No</v>
      </c>
      <c r="M60" s="43">
        <f t="shared" si="13"/>
        <v>9.67</v>
      </c>
      <c r="N60" s="43">
        <f t="shared" si="14"/>
        <v>9.6603396603396607</v>
      </c>
      <c r="O60" s="43" t="str">
        <f t="shared" si="15"/>
        <v>Up to $10</v>
      </c>
      <c r="P60" s="43">
        <f t="shared" si="16"/>
        <v>9.66033966033919E-3</v>
      </c>
      <c r="Q60" s="43">
        <f t="shared" si="17"/>
        <v>-1E-3</v>
      </c>
      <c r="R60" s="43" t="str">
        <f t="shared" si="18"/>
        <v>&gt;$5</v>
      </c>
      <c r="S60" s="45" t="str">
        <f t="shared" si="19"/>
        <v>&gt;$50</v>
      </c>
    </row>
    <row r="61" spans="1:19" x14ac:dyDescent="0.35">
      <c r="A61" s="43" t="s">
        <v>105</v>
      </c>
      <c r="B61" s="43" t="s">
        <v>301</v>
      </c>
      <c r="C61" s="43" t="s">
        <v>490</v>
      </c>
      <c r="D61" s="44">
        <v>7.3000000000000001E-3</v>
      </c>
      <c r="E61" s="43">
        <f>D61</f>
        <v>7.3000000000000001E-3</v>
      </c>
      <c r="F61" s="43">
        <f t="shared" si="11"/>
        <v>-7.3000000000000001E-3</v>
      </c>
      <c r="G61" s="43">
        <f t="shared" si="12"/>
        <v>7.3000000000000001E-3</v>
      </c>
      <c r="H61" s="43" t="s">
        <v>689</v>
      </c>
      <c r="I61" s="43" t="s">
        <v>850</v>
      </c>
      <c r="J61" s="43">
        <f>IFERROR(VALUE(SUBSTITUTE(SUBSTITUTE(Table1[[#This Row],[Volume (24h) USD]],"$",""),",","")),0)</f>
        <v>2771456</v>
      </c>
      <c r="K61" s="43" t="s">
        <v>1043</v>
      </c>
      <c r="L61" s="43" t="str">
        <f>IF(OR(LEFT(Table1[[#This Row],[Coin Name]],1)="A",LEFT(Table1[[#This Row],[Coin Name]],1)="E",LEFT(Table1[[#This Row],[Coin Name]],1)="I",LEFT(Table1[[#This Row],[Coin Name]],1)="O",LEFT(Table1[[#This Row],[Coin Name]],1)="U",LEFT(Table1[[#This Row],[Coin Name]],1)="B",LEFT(Table1[[#This Row],[Coin Name]],1)="C",LEFT(Table1[[#This Row],[Coin Name]],1)="D"),"Yes","No")</f>
        <v>Yes</v>
      </c>
      <c r="M61" s="43">
        <f t="shared" si="13"/>
        <v>2.934E-3</v>
      </c>
      <c r="N61" s="43">
        <f t="shared" si="14"/>
        <v>2.9127370197557824E-3</v>
      </c>
      <c r="O61" s="43" t="str">
        <f t="shared" si="15"/>
        <v>Up to $10</v>
      </c>
      <c r="P61" s="43">
        <f t="shared" si="16"/>
        <v>2.1262980244217584E-5</v>
      </c>
      <c r="Q61" s="43">
        <f t="shared" si="17"/>
        <v>-7.3000000000000001E-3</v>
      </c>
      <c r="R61" s="43" t="str">
        <f t="shared" si="18"/>
        <v>$0-$5</v>
      </c>
      <c r="S61" s="45" t="str">
        <f>IF(M61&lt;=0.05,"$0-$0.05",IF(M61&lt;=0.5,"$0.05-$0.5",IF(M61&lt;=5,"$0.5-$5",IF(M61&lt;=50,"$5-$50","&gt;$50"))))</f>
        <v>$0-$0.05</v>
      </c>
    </row>
    <row r="62" spans="1:19" x14ac:dyDescent="0.35">
      <c r="A62" s="43" t="s">
        <v>67</v>
      </c>
      <c r="B62" s="43" t="s">
        <v>263</v>
      </c>
      <c r="C62" s="43" t="s">
        <v>452</v>
      </c>
      <c r="D62" s="44">
        <v>1.7299999999999999E-2</v>
      </c>
      <c r="E62" s="43">
        <f>D62</f>
        <v>1.7299999999999999E-2</v>
      </c>
      <c r="F62" s="43">
        <f t="shared" si="11"/>
        <v>-1.7299999999999999E-2</v>
      </c>
      <c r="G62" s="43">
        <f t="shared" si="12"/>
        <v>1.7299999999999999E-2</v>
      </c>
      <c r="H62" s="43" t="s">
        <v>652</v>
      </c>
      <c r="I62" s="43" t="s">
        <v>812</v>
      </c>
      <c r="J62" s="43">
        <f>IFERROR(VALUE(SUBSTITUTE(SUBSTITUTE(Table1[[#This Row],[Volume (24h) USD]],"$",""),",","")),0)</f>
        <v>17173</v>
      </c>
      <c r="K62" s="43" t="s">
        <v>1006</v>
      </c>
      <c r="L62" s="43" t="str">
        <f>IF(OR(LEFT(Table1[[#This Row],[Coin Name]],1)="A",LEFT(Table1[[#This Row],[Coin Name]],1)="E",LEFT(Table1[[#This Row],[Coin Name]],1)="I",LEFT(Table1[[#This Row],[Coin Name]],1)="O",LEFT(Table1[[#This Row],[Coin Name]],1)="U",LEFT(Table1[[#This Row],[Coin Name]],1)="B",LEFT(Table1[[#This Row],[Coin Name]],1)="C",LEFT(Table1[[#This Row],[Coin Name]],1)="D"),"Yes","No")</f>
        <v>No</v>
      </c>
      <c r="M62" s="43">
        <f t="shared" si="13"/>
        <v>0.30309999999999998</v>
      </c>
      <c r="N62" s="43">
        <f t="shared" si="14"/>
        <v>0.29794554212130142</v>
      </c>
      <c r="O62" s="43" t="str">
        <f t="shared" si="15"/>
        <v>Up to $10</v>
      </c>
      <c r="P62" s="43">
        <f t="shared" si="16"/>
        <v>5.1544578786985595E-3</v>
      </c>
      <c r="Q62" s="43">
        <f t="shared" si="17"/>
        <v>-1.7299999999999999E-2</v>
      </c>
      <c r="R62" s="43" t="str">
        <f t="shared" si="18"/>
        <v>$0-$5</v>
      </c>
      <c r="S62" s="45" t="str">
        <f t="shared" si="19"/>
        <v>&gt;$50</v>
      </c>
    </row>
    <row r="63" spans="1:19" x14ac:dyDescent="0.35">
      <c r="A63" s="43" t="s">
        <v>68</v>
      </c>
      <c r="B63" s="43" t="s">
        <v>264</v>
      </c>
      <c r="C63" s="43" t="s">
        <v>453</v>
      </c>
      <c r="D63" s="44">
        <v>3.0999999999999999E-3</v>
      </c>
      <c r="E63" s="43">
        <f>D63</f>
        <v>3.0999999999999999E-3</v>
      </c>
      <c r="F63" s="43">
        <f t="shared" si="11"/>
        <v>-3.0999999999999999E-3</v>
      </c>
      <c r="G63" s="43">
        <f t="shared" si="12"/>
        <v>3.0999999999999999E-3</v>
      </c>
      <c r="H63" s="43" t="s">
        <v>653</v>
      </c>
      <c r="I63" s="43" t="s">
        <v>813</v>
      </c>
      <c r="J63" s="43">
        <f>IFERROR(VALUE(SUBSTITUTE(SUBSTITUTE(Table1[[#This Row],[Volume (24h) USD]],"$",""),",","")),0)</f>
        <v>1913531</v>
      </c>
      <c r="K63" s="43" t="s">
        <v>1007</v>
      </c>
      <c r="L63" s="43" t="str">
        <f>IF(OR(LEFT(Table1[[#This Row],[Coin Name]],1)="A",LEFT(Table1[[#This Row],[Coin Name]],1)="E",LEFT(Table1[[#This Row],[Coin Name]],1)="I",LEFT(Table1[[#This Row],[Coin Name]],1)="O",LEFT(Table1[[#This Row],[Coin Name]],1)="U",LEFT(Table1[[#This Row],[Coin Name]],1)="B",LEFT(Table1[[#This Row],[Coin Name]],1)="C",LEFT(Table1[[#This Row],[Coin Name]],1)="D"),"Yes","No")</f>
        <v>No</v>
      </c>
      <c r="M63" s="43">
        <f t="shared" si="13"/>
        <v>1.26</v>
      </c>
      <c r="N63" s="43">
        <f t="shared" si="14"/>
        <v>1.2561060711793439</v>
      </c>
      <c r="O63" s="43" t="str">
        <f t="shared" si="15"/>
        <v>Up to $10</v>
      </c>
      <c r="P63" s="43">
        <f t="shared" si="16"/>
        <v>3.8939288206560896E-3</v>
      </c>
      <c r="Q63" s="43">
        <f t="shared" si="17"/>
        <v>-3.0999999999999999E-3</v>
      </c>
      <c r="R63" s="43" t="str">
        <f t="shared" si="18"/>
        <v>$0-$5</v>
      </c>
      <c r="S63" s="45" t="str">
        <f t="shared" si="19"/>
        <v>&gt;$50</v>
      </c>
    </row>
    <row r="64" spans="1:19" x14ac:dyDescent="0.35">
      <c r="A64" s="43" t="s">
        <v>95</v>
      </c>
      <c r="B64" s="43" t="s">
        <v>291</v>
      </c>
      <c r="C64" s="43" t="s">
        <v>480</v>
      </c>
      <c r="D64" s="44">
        <v>1.5800000000000002E-2</v>
      </c>
      <c r="E64" s="43">
        <f>D64</f>
        <v>1.5800000000000002E-2</v>
      </c>
      <c r="F64" s="43">
        <f t="shared" si="11"/>
        <v>-1.5800000000000002E-2</v>
      </c>
      <c r="G64" s="43">
        <f t="shared" si="12"/>
        <v>1.5800000000000002E-2</v>
      </c>
      <c r="H64" s="43" t="s">
        <v>680</v>
      </c>
      <c r="I64" s="43" t="s">
        <v>840</v>
      </c>
      <c r="J64" s="43">
        <f>IFERROR(VALUE(SUBSTITUTE(SUBSTITUTE(Table1[[#This Row],[Volume (24h) USD]],"$",""),",","")),0)</f>
        <v>2760725</v>
      </c>
      <c r="K64" s="43" t="s">
        <v>1033</v>
      </c>
      <c r="L64" s="43" t="str">
        <f>IF(OR(LEFT(Table1[[#This Row],[Coin Name]],1)="A",LEFT(Table1[[#This Row],[Coin Name]],1)="E",LEFT(Table1[[#This Row],[Coin Name]],1)="I",LEFT(Table1[[#This Row],[Coin Name]],1)="O",LEFT(Table1[[#This Row],[Coin Name]],1)="U",LEFT(Table1[[#This Row],[Coin Name]],1)="B",LEFT(Table1[[#This Row],[Coin Name]],1)="C",LEFT(Table1[[#This Row],[Coin Name]],1)="D"),"Yes","No")</f>
        <v>Yes</v>
      </c>
      <c r="M64" s="43">
        <f t="shared" si="13"/>
        <v>3.0099999999999998E-2</v>
      </c>
      <c r="N64" s="43">
        <f t="shared" si="14"/>
        <v>2.9631817286867489E-2</v>
      </c>
      <c r="O64" s="43" t="str">
        <f t="shared" si="15"/>
        <v>Up to $10</v>
      </c>
      <c r="P64" s="43">
        <f t="shared" si="16"/>
        <v>4.6818271313250892E-4</v>
      </c>
      <c r="Q64" s="43">
        <f t="shared" si="17"/>
        <v>-1.5800000000000002E-2</v>
      </c>
      <c r="R64" s="43" t="str">
        <f t="shared" si="18"/>
        <v>$0-$5</v>
      </c>
      <c r="S64" s="45" t="str">
        <f t="shared" ref="S64:S65" si="23">IF(M64&lt;=0.05,"$0-$0.05",IF(M64&lt;=0.5,"$0.05-$0.5",IF(M64&lt;=5,"$0.5-$5",IF(M64&lt;=50,"$5-$50","&gt;$50"))))</f>
        <v>$0-$0.05</v>
      </c>
    </row>
    <row r="65" spans="1:19" x14ac:dyDescent="0.35">
      <c r="A65" s="43" t="s">
        <v>136</v>
      </c>
      <c r="B65" s="43" t="s">
        <v>330</v>
      </c>
      <c r="C65" s="43" t="s">
        <v>521</v>
      </c>
      <c r="D65" s="44">
        <v>1.9699999999999999E-2</v>
      </c>
      <c r="E65" s="43">
        <f>D65</f>
        <v>1.9699999999999999E-2</v>
      </c>
      <c r="F65" s="43">
        <f t="shared" si="11"/>
        <v>-1.9699999999999999E-2</v>
      </c>
      <c r="G65" s="43">
        <f t="shared" si="12"/>
        <v>1.9699999999999999E-2</v>
      </c>
      <c r="H65" s="43" t="s">
        <v>711</v>
      </c>
      <c r="I65" s="43" t="s">
        <v>879</v>
      </c>
      <c r="J65" s="43">
        <f>IFERROR(VALUE(SUBSTITUTE(SUBSTITUTE(Table1[[#This Row],[Volume (24h) USD]],"$",""),",","")),0)</f>
        <v>2431321</v>
      </c>
      <c r="K65" s="43" t="s">
        <v>1074</v>
      </c>
      <c r="L65" s="43" t="str">
        <f>IF(OR(LEFT(Table1[[#This Row],[Coin Name]],1)="A",LEFT(Table1[[#This Row],[Coin Name]],1)="E",LEFT(Table1[[#This Row],[Coin Name]],1)="I",LEFT(Table1[[#This Row],[Coin Name]],1)="O",LEFT(Table1[[#This Row],[Coin Name]],1)="U",LEFT(Table1[[#This Row],[Coin Name]],1)="B",LEFT(Table1[[#This Row],[Coin Name]],1)="C",LEFT(Table1[[#This Row],[Coin Name]],1)="D"),"Yes","No")</f>
        <v>Yes</v>
      </c>
      <c r="M65" s="43">
        <f t="shared" si="13"/>
        <v>3.9579999999999997E-2</v>
      </c>
      <c r="N65" s="43">
        <f t="shared" si="14"/>
        <v>3.8815337844464053E-2</v>
      </c>
      <c r="O65" s="43" t="str">
        <f t="shared" si="15"/>
        <v>Up to $10</v>
      </c>
      <c r="P65" s="43">
        <f t="shared" si="16"/>
        <v>7.6466215553594452E-4</v>
      </c>
      <c r="Q65" s="43">
        <f t="shared" si="17"/>
        <v>-1.9699999999999999E-2</v>
      </c>
      <c r="R65" s="43" t="str">
        <f t="shared" si="18"/>
        <v>$0-$5</v>
      </c>
      <c r="S65" s="45" t="str">
        <f t="shared" si="23"/>
        <v>$0-$0.05</v>
      </c>
    </row>
    <row r="66" spans="1:19" x14ac:dyDescent="0.35">
      <c r="A66" s="43" t="s">
        <v>71</v>
      </c>
      <c r="B66" s="43" t="s">
        <v>267</v>
      </c>
      <c r="C66" s="43" t="s">
        <v>456</v>
      </c>
      <c r="D66" s="44">
        <v>4.0000000000000002E-4</v>
      </c>
      <c r="E66" s="43">
        <f>D66</f>
        <v>4.0000000000000002E-4</v>
      </c>
      <c r="F66" s="43">
        <f t="shared" ref="F66:F97" si="24">-D66</f>
        <v>-4.0000000000000002E-4</v>
      </c>
      <c r="G66" s="43">
        <f t="shared" ref="G66:G97" si="25">D66</f>
        <v>4.0000000000000002E-4</v>
      </c>
      <c r="H66" s="43" t="s">
        <v>656</v>
      </c>
      <c r="I66" s="43" t="s">
        <v>816</v>
      </c>
      <c r="J66" s="43">
        <f>IFERROR(VALUE(SUBSTITUTE(SUBSTITUTE(Table1[[#This Row],[Volume (24h) USD]],"$",""),",","")),0)</f>
        <v>260802</v>
      </c>
      <c r="K66" s="43" t="s">
        <v>1010</v>
      </c>
      <c r="L66" s="43" t="str">
        <f>IF(OR(LEFT(Table1[[#This Row],[Coin Name]],1)="A",LEFT(Table1[[#This Row],[Coin Name]],1)="E",LEFT(Table1[[#This Row],[Coin Name]],1)="I",LEFT(Table1[[#This Row],[Coin Name]],1)="O",LEFT(Table1[[#This Row],[Coin Name]],1)="U",LEFT(Table1[[#This Row],[Coin Name]],1)="B",LEFT(Table1[[#This Row],[Coin Name]],1)="C",LEFT(Table1[[#This Row],[Coin Name]],1)="D"),"Yes","No")</f>
        <v>No</v>
      </c>
      <c r="M66" s="43">
        <f t="shared" ref="M66:M97" si="26">VALUE(SUBSTITUTE(C66,"$",""))</f>
        <v>1.4970000000000001E-2</v>
      </c>
      <c r="N66" s="43">
        <f t="shared" ref="N66:N97" si="27">M66/(1+D66)</f>
        <v>1.4964014394242305E-2</v>
      </c>
      <c r="O66" s="43" t="str">
        <f t="shared" ref="O66:O97" si="28">IF(M66&lt;10,"Up to $10","&gt;= $10")</f>
        <v>Up to $10</v>
      </c>
      <c r="P66" s="43">
        <f t="shared" ref="P66:P97" si="29">M66-N66</f>
        <v>5.9856057576957583E-6</v>
      </c>
      <c r="Q66" s="43">
        <f t="shared" ref="Q66:Q97" si="30">F66</f>
        <v>-4.0000000000000002E-4</v>
      </c>
      <c r="R66" s="43" t="str">
        <f t="shared" ref="R66:R97" si="31">IF(M66&lt;=5,"$0-$5","&gt;$5")</f>
        <v>$0-$5</v>
      </c>
      <c r="S66" s="45" t="str">
        <f t="shared" ref="S66:S97" si="32">IF(C66&lt;=0.05,"$0-$0.05",
IF(C66&lt;=0.5,"$0.05-$0.5",
IF(C66&lt;=5,"$0.5-$5",
IF(C66&lt;=50,"$5-$50","&gt;$50"))))</f>
        <v>&gt;$50</v>
      </c>
    </row>
    <row r="67" spans="1:19" x14ac:dyDescent="0.35">
      <c r="A67" s="43" t="s">
        <v>32</v>
      </c>
      <c r="B67" s="43" t="s">
        <v>229</v>
      </c>
      <c r="C67" s="43" t="s">
        <v>417</v>
      </c>
      <c r="D67" s="44">
        <v>2.9999999999999997E-4</v>
      </c>
      <c r="E67" s="43">
        <f>D67</f>
        <v>2.9999999999999997E-4</v>
      </c>
      <c r="F67" s="43">
        <f t="shared" si="24"/>
        <v>-2.9999999999999997E-4</v>
      </c>
      <c r="G67" s="43">
        <f t="shared" si="25"/>
        <v>2.9999999999999997E-4</v>
      </c>
      <c r="H67" s="43" t="s">
        <v>617</v>
      </c>
      <c r="I67" s="43" t="s">
        <v>777</v>
      </c>
      <c r="J67" s="43">
        <f>IFERROR(VALUE(SUBSTITUTE(SUBSTITUTE(Table1[[#This Row],[Volume (24h) USD]],"$",""),",","")),0)</f>
        <v>2293702</v>
      </c>
      <c r="K67" s="43" t="s">
        <v>971</v>
      </c>
      <c r="L67" s="43" t="str">
        <f>IF(OR(LEFT(Table1[[#This Row],[Coin Name]],1)="A",LEFT(Table1[[#This Row],[Coin Name]],1)="E",LEFT(Table1[[#This Row],[Coin Name]],1)="I",LEFT(Table1[[#This Row],[Coin Name]],1)="O",LEFT(Table1[[#This Row],[Coin Name]],1)="U",LEFT(Table1[[#This Row],[Coin Name]],1)="B",LEFT(Table1[[#This Row],[Coin Name]],1)="C",LEFT(Table1[[#This Row],[Coin Name]],1)="D"),"Yes","No")</f>
        <v>Yes</v>
      </c>
      <c r="M67" s="43">
        <f t="shared" si="26"/>
        <v>1.0900000000000001</v>
      </c>
      <c r="N67" s="43">
        <f t="shared" si="27"/>
        <v>1.0896730980705789</v>
      </c>
      <c r="O67" s="43" t="str">
        <f t="shared" si="28"/>
        <v>Up to $10</v>
      </c>
      <c r="P67" s="43">
        <f t="shared" si="29"/>
        <v>3.2690192942119722E-4</v>
      </c>
      <c r="Q67" s="43">
        <f t="shared" si="30"/>
        <v>-2.9999999999999997E-4</v>
      </c>
      <c r="R67" s="43" t="str">
        <f t="shared" si="31"/>
        <v>$0-$5</v>
      </c>
      <c r="S67" s="45" t="str">
        <f t="shared" ref="S67:S68" si="33">IF(M67&lt;=0.05,"$0-$0.05",IF(M67&lt;=0.5,"$0.05-$0.5",IF(M67&lt;=5,"$0.5-$5",IF(M67&lt;=50,"$5-$50","&gt;$50"))))</f>
        <v>$0.5-$5</v>
      </c>
    </row>
    <row r="68" spans="1:19" x14ac:dyDescent="0.35">
      <c r="A68" s="43" t="s">
        <v>84</v>
      </c>
      <c r="B68" s="43" t="s">
        <v>280</v>
      </c>
      <c r="C68" s="43" t="s">
        <v>469</v>
      </c>
      <c r="D68" s="44">
        <v>3.3E-3</v>
      </c>
      <c r="E68" s="43">
        <f>D68</f>
        <v>3.3E-3</v>
      </c>
      <c r="F68" s="43">
        <f t="shared" si="24"/>
        <v>-3.3E-3</v>
      </c>
      <c r="G68" s="43">
        <f t="shared" si="25"/>
        <v>3.3E-3</v>
      </c>
      <c r="H68" s="43" t="s">
        <v>669</v>
      </c>
      <c r="I68" s="43" t="s">
        <v>829</v>
      </c>
      <c r="J68" s="43">
        <f>IFERROR(VALUE(SUBSTITUTE(SUBSTITUTE(Table1[[#This Row],[Volume (24h) USD]],"$",""),",","")),0)</f>
        <v>2231412</v>
      </c>
      <c r="K68" s="43" t="s">
        <v>1023</v>
      </c>
      <c r="L68" s="43" t="str">
        <f>IF(OR(LEFT(Table1[[#This Row],[Coin Name]],1)="A",LEFT(Table1[[#This Row],[Coin Name]],1)="E",LEFT(Table1[[#This Row],[Coin Name]],1)="I",LEFT(Table1[[#This Row],[Coin Name]],1)="O",LEFT(Table1[[#This Row],[Coin Name]],1)="U",LEFT(Table1[[#This Row],[Coin Name]],1)="B",LEFT(Table1[[#This Row],[Coin Name]],1)="C",LEFT(Table1[[#This Row],[Coin Name]],1)="D"),"Yes","No")</f>
        <v>Yes</v>
      </c>
      <c r="M68" s="43">
        <f t="shared" si="26"/>
        <v>2.6540000000000001E-2</v>
      </c>
      <c r="N68" s="43">
        <f t="shared" si="27"/>
        <v>2.6452706069969099E-2</v>
      </c>
      <c r="O68" s="43" t="str">
        <f t="shared" si="28"/>
        <v>Up to $10</v>
      </c>
      <c r="P68" s="43">
        <f t="shared" si="29"/>
        <v>8.729393003090169E-5</v>
      </c>
      <c r="Q68" s="43">
        <f t="shared" si="30"/>
        <v>-3.3E-3</v>
      </c>
      <c r="R68" s="43" t="str">
        <f t="shared" si="31"/>
        <v>$0-$5</v>
      </c>
      <c r="S68" s="45" t="str">
        <f t="shared" si="33"/>
        <v>$0-$0.05</v>
      </c>
    </row>
    <row r="69" spans="1:19" x14ac:dyDescent="0.35">
      <c r="A69" s="43" t="s">
        <v>74</v>
      </c>
      <c r="B69" s="43" t="s">
        <v>270</v>
      </c>
      <c r="C69" s="43" t="s">
        <v>459</v>
      </c>
      <c r="D69" s="44">
        <v>8.0000000000000004E-4</v>
      </c>
      <c r="E69" s="43">
        <f>D69</f>
        <v>8.0000000000000004E-4</v>
      </c>
      <c r="F69" s="43">
        <f t="shared" si="24"/>
        <v>-8.0000000000000004E-4</v>
      </c>
      <c r="G69" s="43">
        <f t="shared" si="25"/>
        <v>8.0000000000000004E-4</v>
      </c>
      <c r="H69" s="43" t="s">
        <v>659</v>
      </c>
      <c r="I69" s="43" t="s">
        <v>819</v>
      </c>
      <c r="J69" s="43">
        <f>IFERROR(VALUE(SUBSTITUTE(SUBSTITUTE(Table1[[#This Row],[Volume (24h) USD]],"$",""),",","")),0)</f>
        <v>252063</v>
      </c>
      <c r="K69" s="43" t="s">
        <v>1013</v>
      </c>
      <c r="L69" s="43" t="str">
        <f>IF(OR(LEFT(Table1[[#This Row],[Coin Name]],1)="A",LEFT(Table1[[#This Row],[Coin Name]],1)="E",LEFT(Table1[[#This Row],[Coin Name]],1)="I",LEFT(Table1[[#This Row],[Coin Name]],1)="O",LEFT(Table1[[#This Row],[Coin Name]],1)="U",LEFT(Table1[[#This Row],[Coin Name]],1)="B",LEFT(Table1[[#This Row],[Coin Name]],1)="C",LEFT(Table1[[#This Row],[Coin Name]],1)="D"),"Yes","No")</f>
        <v>No</v>
      </c>
      <c r="M69" s="43">
        <f t="shared" si="26"/>
        <v>2.1000000000000001E-2</v>
      </c>
      <c r="N69" s="43">
        <f t="shared" si="27"/>
        <v>2.09832134292566E-2</v>
      </c>
      <c r="O69" s="43" t="str">
        <f t="shared" si="28"/>
        <v>Up to $10</v>
      </c>
      <c r="P69" s="43">
        <f t="shared" si="29"/>
        <v>1.678657074340173E-5</v>
      </c>
      <c r="Q69" s="43">
        <f t="shared" si="30"/>
        <v>-8.0000000000000004E-4</v>
      </c>
      <c r="R69" s="43" t="str">
        <f t="shared" si="31"/>
        <v>$0-$5</v>
      </c>
      <c r="S69" s="45" t="str">
        <f t="shared" si="32"/>
        <v>&gt;$50</v>
      </c>
    </row>
    <row r="70" spans="1:19" x14ac:dyDescent="0.35">
      <c r="A70" s="43" t="s">
        <v>75</v>
      </c>
      <c r="B70" s="43" t="s">
        <v>271</v>
      </c>
      <c r="C70" s="43" t="s">
        <v>460</v>
      </c>
      <c r="D70" s="44">
        <v>3.2000000000000002E-3</v>
      </c>
      <c r="E70" s="43">
        <f>D70</f>
        <v>3.2000000000000002E-3</v>
      </c>
      <c r="F70" s="43">
        <f t="shared" si="24"/>
        <v>-3.2000000000000002E-3</v>
      </c>
      <c r="G70" s="43">
        <f t="shared" si="25"/>
        <v>3.2000000000000002E-3</v>
      </c>
      <c r="H70" s="43" t="s">
        <v>660</v>
      </c>
      <c r="I70" s="43" t="s">
        <v>820</v>
      </c>
      <c r="J70" s="43">
        <f>IFERROR(VALUE(SUBSTITUTE(SUBSTITUTE(Table1[[#This Row],[Volume (24h) USD]],"$",""),",","")),0)</f>
        <v>3564164</v>
      </c>
      <c r="K70" s="43" t="s">
        <v>1014</v>
      </c>
      <c r="L70" s="43" t="str">
        <f>IF(OR(LEFT(Table1[[#This Row],[Coin Name]],1)="A",LEFT(Table1[[#This Row],[Coin Name]],1)="E",LEFT(Table1[[#This Row],[Coin Name]],1)="I",LEFT(Table1[[#This Row],[Coin Name]],1)="O",LEFT(Table1[[#This Row],[Coin Name]],1)="U",LEFT(Table1[[#This Row],[Coin Name]],1)="B",LEFT(Table1[[#This Row],[Coin Name]],1)="C",LEFT(Table1[[#This Row],[Coin Name]],1)="D"),"Yes","No")</f>
        <v>No</v>
      </c>
      <c r="M70" s="43">
        <f t="shared" si="26"/>
        <v>0.2442</v>
      </c>
      <c r="N70" s="43">
        <f t="shared" si="27"/>
        <v>0.24342105263157893</v>
      </c>
      <c r="O70" s="43" t="str">
        <f t="shared" si="28"/>
        <v>Up to $10</v>
      </c>
      <c r="P70" s="43">
        <f t="shared" si="29"/>
        <v>7.7894736842107348E-4</v>
      </c>
      <c r="Q70" s="43">
        <f t="shared" si="30"/>
        <v>-3.2000000000000002E-3</v>
      </c>
      <c r="R70" s="43" t="str">
        <f t="shared" si="31"/>
        <v>$0-$5</v>
      </c>
      <c r="S70" s="45" t="str">
        <f t="shared" si="32"/>
        <v>&gt;$50</v>
      </c>
    </row>
    <row r="71" spans="1:19" x14ac:dyDescent="0.35">
      <c r="A71" s="43" t="s">
        <v>76</v>
      </c>
      <c r="B71" s="43" t="s">
        <v>272</v>
      </c>
      <c r="C71" s="43" t="s">
        <v>461</v>
      </c>
      <c r="D71" s="44">
        <v>6.8999999999999999E-3</v>
      </c>
      <c r="E71" s="43">
        <f>D71</f>
        <v>6.8999999999999999E-3</v>
      </c>
      <c r="F71" s="43">
        <f t="shared" si="24"/>
        <v>-6.8999999999999999E-3</v>
      </c>
      <c r="G71" s="43">
        <f t="shared" si="25"/>
        <v>6.8999999999999999E-3</v>
      </c>
      <c r="H71" s="43" t="s">
        <v>661</v>
      </c>
      <c r="I71" s="43" t="s">
        <v>821</v>
      </c>
      <c r="J71" s="43">
        <f>IFERROR(VALUE(SUBSTITUTE(SUBSTITUTE(Table1[[#This Row],[Volume (24h) USD]],"$",""),",","")),0)</f>
        <v>8693511</v>
      </c>
      <c r="K71" s="43" t="s">
        <v>1015</v>
      </c>
      <c r="L71" s="43" t="str">
        <f>IF(OR(LEFT(Table1[[#This Row],[Coin Name]],1)="A",LEFT(Table1[[#This Row],[Coin Name]],1)="E",LEFT(Table1[[#This Row],[Coin Name]],1)="I",LEFT(Table1[[#This Row],[Coin Name]],1)="O",LEFT(Table1[[#This Row],[Coin Name]],1)="U",LEFT(Table1[[#This Row],[Coin Name]],1)="B",LEFT(Table1[[#This Row],[Coin Name]],1)="C",LEFT(Table1[[#This Row],[Coin Name]],1)="D"),"Yes","No")</f>
        <v>No</v>
      </c>
      <c r="M71" s="43">
        <f t="shared" si="26"/>
        <v>0.33879999999999999</v>
      </c>
      <c r="N71" s="43">
        <f t="shared" si="27"/>
        <v>0.33647829973185023</v>
      </c>
      <c r="O71" s="43" t="str">
        <f t="shared" si="28"/>
        <v>Up to $10</v>
      </c>
      <c r="P71" s="43">
        <f t="shared" si="29"/>
        <v>2.3217002681497623E-3</v>
      </c>
      <c r="Q71" s="43">
        <f t="shared" si="30"/>
        <v>-6.8999999999999999E-3</v>
      </c>
      <c r="R71" s="43" t="str">
        <f t="shared" si="31"/>
        <v>$0-$5</v>
      </c>
      <c r="S71" s="45" t="str">
        <f t="shared" si="32"/>
        <v>&gt;$50</v>
      </c>
    </row>
    <row r="72" spans="1:19" x14ac:dyDescent="0.35">
      <c r="A72" s="43" t="s">
        <v>77</v>
      </c>
      <c r="B72" s="43" t="s">
        <v>273</v>
      </c>
      <c r="C72" s="43" t="s">
        <v>462</v>
      </c>
      <c r="D72" s="44">
        <v>1.5E-3</v>
      </c>
      <c r="E72" s="43">
        <f>D72</f>
        <v>1.5E-3</v>
      </c>
      <c r="F72" s="43">
        <f t="shared" si="24"/>
        <v>-1.5E-3</v>
      </c>
      <c r="G72" s="43">
        <f t="shared" si="25"/>
        <v>1.5E-3</v>
      </c>
      <c r="H72" s="43" t="s">
        <v>662</v>
      </c>
      <c r="I72" s="43" t="s">
        <v>822</v>
      </c>
      <c r="J72" s="43">
        <f>IFERROR(VALUE(SUBSTITUTE(SUBSTITUTE(Table1[[#This Row],[Volume (24h) USD]],"$",""),",","")),0)</f>
        <v>254347</v>
      </c>
      <c r="K72" s="43" t="s">
        <v>1016</v>
      </c>
      <c r="L72" s="43" t="str">
        <f>IF(OR(LEFT(Table1[[#This Row],[Coin Name]],1)="A",LEFT(Table1[[#This Row],[Coin Name]],1)="E",LEFT(Table1[[#This Row],[Coin Name]],1)="I",LEFT(Table1[[#This Row],[Coin Name]],1)="O",LEFT(Table1[[#This Row],[Coin Name]],1)="U",LEFT(Table1[[#This Row],[Coin Name]],1)="B",LEFT(Table1[[#This Row],[Coin Name]],1)="C",LEFT(Table1[[#This Row],[Coin Name]],1)="D"),"Yes","No")</f>
        <v>No</v>
      </c>
      <c r="M72" s="43">
        <f t="shared" si="26"/>
        <v>0.29930000000000001</v>
      </c>
      <c r="N72" s="43">
        <f t="shared" si="27"/>
        <v>0.29885172241637542</v>
      </c>
      <c r="O72" s="43" t="str">
        <f t="shared" si="28"/>
        <v>Up to $10</v>
      </c>
      <c r="P72" s="43">
        <f t="shared" si="29"/>
        <v>4.4827758362459003E-4</v>
      </c>
      <c r="Q72" s="43">
        <f t="shared" si="30"/>
        <v>-1.5E-3</v>
      </c>
      <c r="R72" s="43" t="str">
        <f t="shared" si="31"/>
        <v>$0-$5</v>
      </c>
      <c r="S72" s="45" t="str">
        <f t="shared" si="32"/>
        <v>&gt;$50</v>
      </c>
    </row>
    <row r="73" spans="1:19" x14ac:dyDescent="0.35">
      <c r="A73" s="43" t="s">
        <v>78</v>
      </c>
      <c r="B73" s="43" t="s">
        <v>274</v>
      </c>
      <c r="C73" s="43" t="s">
        <v>463</v>
      </c>
      <c r="D73" s="44">
        <v>1.77E-2</v>
      </c>
      <c r="E73" s="43">
        <f>D73</f>
        <v>1.77E-2</v>
      </c>
      <c r="F73" s="43">
        <f t="shared" si="24"/>
        <v>-1.77E-2</v>
      </c>
      <c r="G73" s="43">
        <f t="shared" si="25"/>
        <v>1.77E-2</v>
      </c>
      <c r="H73" s="43" t="s">
        <v>663</v>
      </c>
      <c r="I73" s="43" t="s">
        <v>823</v>
      </c>
      <c r="J73" s="43">
        <f>IFERROR(VALUE(SUBSTITUTE(SUBSTITUTE(Table1[[#This Row],[Volume (24h) USD]],"$",""),",","")),0)</f>
        <v>2161326</v>
      </c>
      <c r="K73" s="43" t="s">
        <v>1017</v>
      </c>
      <c r="L73" s="43" t="str">
        <f>IF(OR(LEFT(Table1[[#This Row],[Coin Name]],1)="A",LEFT(Table1[[#This Row],[Coin Name]],1)="E",LEFT(Table1[[#This Row],[Coin Name]],1)="I",LEFT(Table1[[#This Row],[Coin Name]],1)="O",LEFT(Table1[[#This Row],[Coin Name]],1)="U",LEFT(Table1[[#This Row],[Coin Name]],1)="B",LEFT(Table1[[#This Row],[Coin Name]],1)="C",LEFT(Table1[[#This Row],[Coin Name]],1)="D"),"Yes","No")</f>
        <v>No</v>
      </c>
      <c r="M73" s="43">
        <f t="shared" si="26"/>
        <v>0.1401</v>
      </c>
      <c r="N73" s="43">
        <f t="shared" si="27"/>
        <v>0.13766335855360126</v>
      </c>
      <c r="O73" s="43" t="str">
        <f t="shared" si="28"/>
        <v>Up to $10</v>
      </c>
      <c r="P73" s="43">
        <f t="shared" si="29"/>
        <v>2.4366414463987407E-3</v>
      </c>
      <c r="Q73" s="43">
        <f t="shared" si="30"/>
        <v>-1.77E-2</v>
      </c>
      <c r="R73" s="43" t="str">
        <f t="shared" si="31"/>
        <v>$0-$5</v>
      </c>
      <c r="S73" s="45" t="str">
        <f t="shared" si="32"/>
        <v>&gt;$50</v>
      </c>
    </row>
    <row r="74" spans="1:19" x14ac:dyDescent="0.35">
      <c r="A74" s="43" t="s">
        <v>79</v>
      </c>
      <c r="B74" s="43" t="s">
        <v>275</v>
      </c>
      <c r="C74" s="43" t="s">
        <v>464</v>
      </c>
      <c r="D74" s="44">
        <v>7.6E-3</v>
      </c>
      <c r="E74" s="43">
        <f>D74</f>
        <v>7.6E-3</v>
      </c>
      <c r="F74" s="43">
        <f t="shared" si="24"/>
        <v>-7.6E-3</v>
      </c>
      <c r="G74" s="43">
        <f t="shared" si="25"/>
        <v>7.6E-3</v>
      </c>
      <c r="H74" s="43" t="s">
        <v>664</v>
      </c>
      <c r="I74" s="43" t="s">
        <v>824</v>
      </c>
      <c r="J74" s="43">
        <f>IFERROR(VALUE(SUBSTITUTE(SUBSTITUTE(Table1[[#This Row],[Volume (24h) USD]],"$",""),",","")),0)</f>
        <v>33236555</v>
      </c>
      <c r="K74" s="43" t="s">
        <v>1018</v>
      </c>
      <c r="L74" s="43" t="str">
        <f>IF(OR(LEFT(Table1[[#This Row],[Coin Name]],1)="A",LEFT(Table1[[#This Row],[Coin Name]],1)="E",LEFT(Table1[[#This Row],[Coin Name]],1)="I",LEFT(Table1[[#This Row],[Coin Name]],1)="O",LEFT(Table1[[#This Row],[Coin Name]],1)="U",LEFT(Table1[[#This Row],[Coin Name]],1)="B",LEFT(Table1[[#This Row],[Coin Name]],1)="C",LEFT(Table1[[#This Row],[Coin Name]],1)="D"),"Yes","No")</f>
        <v>No</v>
      </c>
      <c r="M74" s="43">
        <f t="shared" si="26"/>
        <v>0.12790000000000001</v>
      </c>
      <c r="N74" s="43">
        <f t="shared" si="27"/>
        <v>0.12693529178245336</v>
      </c>
      <c r="O74" s="43" t="str">
        <f t="shared" si="28"/>
        <v>Up to $10</v>
      </c>
      <c r="P74" s="43">
        <f t="shared" si="29"/>
        <v>9.6470821754665592E-4</v>
      </c>
      <c r="Q74" s="43">
        <f t="shared" si="30"/>
        <v>-7.6E-3</v>
      </c>
      <c r="R74" s="43" t="str">
        <f t="shared" si="31"/>
        <v>$0-$5</v>
      </c>
      <c r="S74" s="45" t="str">
        <f t="shared" si="32"/>
        <v>&gt;$50</v>
      </c>
    </row>
    <row r="75" spans="1:19" x14ac:dyDescent="0.35">
      <c r="A75" s="43" t="s">
        <v>80</v>
      </c>
      <c r="B75" s="43" t="s">
        <v>276</v>
      </c>
      <c r="C75" s="43" t="s">
        <v>465</v>
      </c>
      <c r="D75" s="44">
        <v>2.1899999999999999E-2</v>
      </c>
      <c r="E75" s="43">
        <f>D75</f>
        <v>2.1899999999999999E-2</v>
      </c>
      <c r="F75" s="43">
        <f t="shared" si="24"/>
        <v>-2.1899999999999999E-2</v>
      </c>
      <c r="G75" s="43">
        <f t="shared" si="25"/>
        <v>2.1899999999999999E-2</v>
      </c>
      <c r="H75" s="43" t="s">
        <v>665</v>
      </c>
      <c r="I75" s="43" t="s">
        <v>825</v>
      </c>
      <c r="J75" s="43">
        <f>IFERROR(VALUE(SUBSTITUTE(SUBSTITUTE(Table1[[#This Row],[Volume (24h) USD]],"$",""),",","")),0)</f>
        <v>5485485</v>
      </c>
      <c r="K75" s="43" t="s">
        <v>1019</v>
      </c>
      <c r="L75" s="43" t="str">
        <f>IF(OR(LEFT(Table1[[#This Row],[Coin Name]],1)="A",LEFT(Table1[[#This Row],[Coin Name]],1)="E",LEFT(Table1[[#This Row],[Coin Name]],1)="I",LEFT(Table1[[#This Row],[Coin Name]],1)="O",LEFT(Table1[[#This Row],[Coin Name]],1)="U",LEFT(Table1[[#This Row],[Coin Name]],1)="B",LEFT(Table1[[#This Row],[Coin Name]],1)="C",LEFT(Table1[[#This Row],[Coin Name]],1)="D"),"Yes","No")</f>
        <v>No</v>
      </c>
      <c r="M75" s="43">
        <f t="shared" si="26"/>
        <v>0.5232</v>
      </c>
      <c r="N75" s="43">
        <f t="shared" si="27"/>
        <v>0.51198747431255498</v>
      </c>
      <c r="O75" s="43" t="str">
        <f t="shared" si="28"/>
        <v>Up to $10</v>
      </c>
      <c r="P75" s="43">
        <f t="shared" si="29"/>
        <v>1.1212525687445019E-2</v>
      </c>
      <c r="Q75" s="43">
        <f t="shared" si="30"/>
        <v>-2.1899999999999999E-2</v>
      </c>
      <c r="R75" s="43" t="str">
        <f t="shared" si="31"/>
        <v>$0-$5</v>
      </c>
      <c r="S75" s="45" t="str">
        <f t="shared" si="32"/>
        <v>&gt;$50</v>
      </c>
    </row>
    <row r="76" spans="1:19" x14ac:dyDescent="0.35">
      <c r="A76" s="43" t="s">
        <v>81</v>
      </c>
      <c r="B76" s="43" t="s">
        <v>277</v>
      </c>
      <c r="C76" s="43" t="s">
        <v>466</v>
      </c>
      <c r="D76" s="44">
        <v>9.4000000000000004E-3</v>
      </c>
      <c r="E76" s="43">
        <f>D76</f>
        <v>9.4000000000000004E-3</v>
      </c>
      <c r="F76" s="43">
        <f t="shared" si="24"/>
        <v>-9.4000000000000004E-3</v>
      </c>
      <c r="G76" s="43">
        <f t="shared" si="25"/>
        <v>9.4000000000000004E-3</v>
      </c>
      <c r="H76" s="43" t="s">
        <v>666</v>
      </c>
      <c r="I76" s="43" t="s">
        <v>826</v>
      </c>
      <c r="J76" s="43">
        <f>IFERROR(VALUE(SUBSTITUTE(SUBSTITUTE(Table1[[#This Row],[Volume (24h) USD]],"$",""),",","")),0)</f>
        <v>4157460</v>
      </c>
      <c r="K76" s="43" t="s">
        <v>1020</v>
      </c>
      <c r="L76" s="43" t="str">
        <f>IF(OR(LEFT(Table1[[#This Row],[Coin Name]],1)="A",LEFT(Table1[[#This Row],[Coin Name]],1)="E",LEFT(Table1[[#This Row],[Coin Name]],1)="I",LEFT(Table1[[#This Row],[Coin Name]],1)="O",LEFT(Table1[[#This Row],[Coin Name]],1)="U",LEFT(Table1[[#This Row],[Coin Name]],1)="B",LEFT(Table1[[#This Row],[Coin Name]],1)="C",LEFT(Table1[[#This Row],[Coin Name]],1)="D"),"Yes","No")</f>
        <v>No</v>
      </c>
      <c r="M76" s="43">
        <f t="shared" si="26"/>
        <v>3.9259999999999998E-3</v>
      </c>
      <c r="N76" s="43">
        <f t="shared" si="27"/>
        <v>3.8894392708539722E-3</v>
      </c>
      <c r="O76" s="43" t="str">
        <f t="shared" si="28"/>
        <v>Up to $10</v>
      </c>
      <c r="P76" s="43">
        <f t="shared" si="29"/>
        <v>3.6560729146027562E-5</v>
      </c>
      <c r="Q76" s="43">
        <f t="shared" si="30"/>
        <v>-9.4000000000000004E-3</v>
      </c>
      <c r="R76" s="43" t="str">
        <f t="shared" si="31"/>
        <v>$0-$5</v>
      </c>
      <c r="S76" s="45" t="str">
        <f t="shared" si="32"/>
        <v>&gt;$50</v>
      </c>
    </row>
    <row r="77" spans="1:19" x14ac:dyDescent="0.35">
      <c r="A77" s="43" t="s">
        <v>82</v>
      </c>
      <c r="B77" s="43" t="s">
        <v>278</v>
      </c>
      <c r="C77" s="43" t="s">
        <v>467</v>
      </c>
      <c r="D77" s="44">
        <v>1.46E-2</v>
      </c>
      <c r="E77" s="43">
        <f>D77</f>
        <v>1.46E-2</v>
      </c>
      <c r="F77" s="43">
        <f t="shared" si="24"/>
        <v>-1.46E-2</v>
      </c>
      <c r="G77" s="43">
        <f t="shared" si="25"/>
        <v>1.46E-2</v>
      </c>
      <c r="H77" s="43" t="s">
        <v>667</v>
      </c>
      <c r="I77" s="43" t="s">
        <v>827</v>
      </c>
      <c r="J77" s="43">
        <f>IFERROR(VALUE(SUBSTITUTE(SUBSTITUTE(Table1[[#This Row],[Volume (24h) USD]],"$",""),",","")),0)</f>
        <v>3148017</v>
      </c>
      <c r="K77" s="43" t="s">
        <v>1021</v>
      </c>
      <c r="L77" s="43" t="str">
        <f>IF(OR(LEFT(Table1[[#This Row],[Coin Name]],1)="A",LEFT(Table1[[#This Row],[Coin Name]],1)="E",LEFT(Table1[[#This Row],[Coin Name]],1)="I",LEFT(Table1[[#This Row],[Coin Name]],1)="O",LEFT(Table1[[#This Row],[Coin Name]],1)="U",LEFT(Table1[[#This Row],[Coin Name]],1)="B",LEFT(Table1[[#This Row],[Coin Name]],1)="C",LEFT(Table1[[#This Row],[Coin Name]],1)="D"),"Yes","No")</f>
        <v>No</v>
      </c>
      <c r="M77" s="43">
        <f t="shared" si="26"/>
        <v>5.6509999999999998E-2</v>
      </c>
      <c r="N77" s="43">
        <f t="shared" si="27"/>
        <v>5.5696826335501673E-2</v>
      </c>
      <c r="O77" s="43" t="str">
        <f t="shared" si="28"/>
        <v>Up to $10</v>
      </c>
      <c r="P77" s="43">
        <f t="shared" si="29"/>
        <v>8.1317366449832479E-4</v>
      </c>
      <c r="Q77" s="43">
        <f t="shared" si="30"/>
        <v>-1.46E-2</v>
      </c>
      <c r="R77" s="43" t="str">
        <f t="shared" si="31"/>
        <v>$0-$5</v>
      </c>
      <c r="S77" s="45" t="str">
        <f t="shared" si="32"/>
        <v>&gt;$50</v>
      </c>
    </row>
    <row r="78" spans="1:19" x14ac:dyDescent="0.35">
      <c r="A78" s="43" t="s">
        <v>104</v>
      </c>
      <c r="B78" s="43" t="s">
        <v>300</v>
      </c>
      <c r="C78" s="43" t="s">
        <v>489</v>
      </c>
      <c r="D78" s="44">
        <v>6.9999999999999999E-4</v>
      </c>
      <c r="E78" s="43">
        <f>D78</f>
        <v>6.9999999999999999E-4</v>
      </c>
      <c r="F78" s="43">
        <f t="shared" si="24"/>
        <v>-6.9999999999999999E-4</v>
      </c>
      <c r="G78" s="43">
        <f t="shared" si="25"/>
        <v>6.9999999999999999E-4</v>
      </c>
      <c r="H78" s="43" t="s">
        <v>688</v>
      </c>
      <c r="I78" s="43" t="s">
        <v>849</v>
      </c>
      <c r="J78" s="43">
        <f>IFERROR(VALUE(SUBSTITUTE(SUBSTITUTE(Table1[[#This Row],[Volume (24h) USD]],"$",""),",","")),0)</f>
        <v>1739142</v>
      </c>
      <c r="K78" s="43" t="s">
        <v>1042</v>
      </c>
      <c r="L78" s="43" t="str">
        <f>IF(OR(LEFT(Table1[[#This Row],[Coin Name]],1)="A",LEFT(Table1[[#This Row],[Coin Name]],1)="E",LEFT(Table1[[#This Row],[Coin Name]],1)="I",LEFT(Table1[[#This Row],[Coin Name]],1)="O",LEFT(Table1[[#This Row],[Coin Name]],1)="U",LEFT(Table1[[#This Row],[Coin Name]],1)="B",LEFT(Table1[[#This Row],[Coin Name]],1)="C",LEFT(Table1[[#This Row],[Coin Name]],1)="D"),"Yes","No")</f>
        <v>Yes</v>
      </c>
      <c r="M78" s="43">
        <f t="shared" si="26"/>
        <v>7.5079999999999994E-2</v>
      </c>
      <c r="N78" s="43">
        <f t="shared" si="27"/>
        <v>7.5027480763465576E-2</v>
      </c>
      <c r="O78" s="43" t="str">
        <f t="shared" si="28"/>
        <v>Up to $10</v>
      </c>
      <c r="P78" s="43">
        <f t="shared" si="29"/>
        <v>5.2519236534417924E-5</v>
      </c>
      <c r="Q78" s="43">
        <f t="shared" si="30"/>
        <v>-6.9999999999999999E-4</v>
      </c>
      <c r="R78" s="43" t="str">
        <f t="shared" si="31"/>
        <v>$0-$5</v>
      </c>
      <c r="S78" s="45" t="str">
        <f t="shared" ref="S78:S80" si="34">IF(M78&lt;=0.05,"$0-$0.05",IF(M78&lt;=0.5,"$0.05-$0.5",IF(M78&lt;=5,"$0.5-$5",IF(M78&lt;=50,"$5-$50","&gt;$50"))))</f>
        <v>$0.05-$0.5</v>
      </c>
    </row>
    <row r="79" spans="1:19" x14ac:dyDescent="0.35">
      <c r="A79" s="43" t="s">
        <v>115</v>
      </c>
      <c r="B79" s="43" t="s">
        <v>311</v>
      </c>
      <c r="C79" s="43" t="s">
        <v>500</v>
      </c>
      <c r="D79" s="44">
        <v>4.1999999999999997E-3</v>
      </c>
      <c r="E79" s="43">
        <f>D79</f>
        <v>4.1999999999999997E-3</v>
      </c>
      <c r="F79" s="43">
        <f t="shared" si="24"/>
        <v>-4.1999999999999997E-3</v>
      </c>
      <c r="G79" s="43">
        <f t="shared" si="25"/>
        <v>4.1999999999999997E-3</v>
      </c>
      <c r="H79" s="43" t="s">
        <v>696</v>
      </c>
      <c r="I79" s="43" t="s">
        <v>860</v>
      </c>
      <c r="J79" s="43">
        <f>IFERROR(VALUE(SUBSTITUTE(SUBSTITUTE(Table1[[#This Row],[Volume (24h) USD]],"$",""),",","")),0)</f>
        <v>1737116</v>
      </c>
      <c r="K79" s="43" t="s">
        <v>1053</v>
      </c>
      <c r="L79" s="43" t="str">
        <f>IF(OR(LEFT(Table1[[#This Row],[Coin Name]],1)="A",LEFT(Table1[[#This Row],[Coin Name]],1)="E",LEFT(Table1[[#This Row],[Coin Name]],1)="I",LEFT(Table1[[#This Row],[Coin Name]],1)="O",LEFT(Table1[[#This Row],[Coin Name]],1)="U",LEFT(Table1[[#This Row],[Coin Name]],1)="B",LEFT(Table1[[#This Row],[Coin Name]],1)="C",LEFT(Table1[[#This Row],[Coin Name]],1)="D"),"Yes","No")</f>
        <v>Yes</v>
      </c>
      <c r="M79" s="43">
        <f t="shared" si="26"/>
        <v>1.163E-2</v>
      </c>
      <c r="N79" s="43">
        <f t="shared" si="27"/>
        <v>1.1581358295160327E-2</v>
      </c>
      <c r="O79" s="43" t="str">
        <f t="shared" si="28"/>
        <v>Up to $10</v>
      </c>
      <c r="P79" s="43">
        <f t="shared" si="29"/>
        <v>4.8641704839673047E-5</v>
      </c>
      <c r="Q79" s="43">
        <f t="shared" si="30"/>
        <v>-4.1999999999999997E-3</v>
      </c>
      <c r="R79" s="43" t="str">
        <f t="shared" si="31"/>
        <v>$0-$5</v>
      </c>
      <c r="S79" s="45" t="str">
        <f t="shared" si="34"/>
        <v>$0-$0.05</v>
      </c>
    </row>
    <row r="80" spans="1:19" x14ac:dyDescent="0.35">
      <c r="A80" s="43" t="s">
        <v>70</v>
      </c>
      <c r="B80" s="43" t="s">
        <v>266</v>
      </c>
      <c r="C80" s="43" t="s">
        <v>455</v>
      </c>
      <c r="D80" s="44">
        <v>2.5000000000000001E-3</v>
      </c>
      <c r="E80" s="43">
        <f>D80</f>
        <v>2.5000000000000001E-3</v>
      </c>
      <c r="F80" s="43">
        <f t="shared" si="24"/>
        <v>-2.5000000000000001E-3</v>
      </c>
      <c r="G80" s="43">
        <f t="shared" si="25"/>
        <v>2.5000000000000001E-3</v>
      </c>
      <c r="H80" s="43" t="s">
        <v>655</v>
      </c>
      <c r="I80" s="43" t="s">
        <v>815</v>
      </c>
      <c r="J80" s="43">
        <f>IFERROR(VALUE(SUBSTITUTE(SUBSTITUTE(Table1[[#This Row],[Volume (24h) USD]],"$",""),",","")),0)</f>
        <v>1669915</v>
      </c>
      <c r="K80" s="43" t="s">
        <v>1009</v>
      </c>
      <c r="L80" s="43" t="str">
        <f>IF(OR(LEFT(Table1[[#This Row],[Coin Name]],1)="A",LEFT(Table1[[#This Row],[Coin Name]],1)="E",LEFT(Table1[[#This Row],[Coin Name]],1)="I",LEFT(Table1[[#This Row],[Coin Name]],1)="O",LEFT(Table1[[#This Row],[Coin Name]],1)="U",LEFT(Table1[[#This Row],[Coin Name]],1)="B",LEFT(Table1[[#This Row],[Coin Name]],1)="C",LEFT(Table1[[#This Row],[Coin Name]],1)="D"),"Yes","No")</f>
        <v>Yes</v>
      </c>
      <c r="M80" s="43">
        <f t="shared" si="26"/>
        <v>1.245E-3</v>
      </c>
      <c r="N80" s="43">
        <f t="shared" si="27"/>
        <v>1.2418952618453865E-3</v>
      </c>
      <c r="O80" s="43" t="str">
        <f t="shared" si="28"/>
        <v>Up to $10</v>
      </c>
      <c r="P80" s="43">
        <f t="shared" si="29"/>
        <v>3.1047381546134723E-6</v>
      </c>
      <c r="Q80" s="43">
        <f t="shared" si="30"/>
        <v>-2.5000000000000001E-3</v>
      </c>
      <c r="R80" s="43" t="str">
        <f t="shared" si="31"/>
        <v>$0-$5</v>
      </c>
      <c r="S80" s="45" t="str">
        <f t="shared" si="34"/>
        <v>$0-$0.05</v>
      </c>
    </row>
    <row r="81" spans="1:19" x14ac:dyDescent="0.35">
      <c r="A81" s="43" t="s">
        <v>86</v>
      </c>
      <c r="B81" s="43" t="s">
        <v>282</v>
      </c>
      <c r="C81" s="43" t="s">
        <v>471</v>
      </c>
      <c r="D81" s="44">
        <v>1.26E-2</v>
      </c>
      <c r="E81" s="43">
        <f>D81</f>
        <v>1.26E-2</v>
      </c>
      <c r="F81" s="43">
        <f t="shared" si="24"/>
        <v>-1.26E-2</v>
      </c>
      <c r="G81" s="43">
        <f t="shared" si="25"/>
        <v>1.26E-2</v>
      </c>
      <c r="H81" s="43" t="s">
        <v>671</v>
      </c>
      <c r="I81" s="43" t="s">
        <v>831</v>
      </c>
      <c r="J81" s="43">
        <f>IFERROR(VALUE(SUBSTITUTE(SUBSTITUTE(Table1[[#This Row],[Volume (24h) USD]],"$",""),",","")),0)</f>
        <v>5290020</v>
      </c>
      <c r="K81" s="43" t="s">
        <v>1025</v>
      </c>
      <c r="L81" s="43" t="str">
        <f>IF(OR(LEFT(Table1[[#This Row],[Coin Name]],1)="A",LEFT(Table1[[#This Row],[Coin Name]],1)="E",LEFT(Table1[[#This Row],[Coin Name]],1)="I",LEFT(Table1[[#This Row],[Coin Name]],1)="O",LEFT(Table1[[#This Row],[Coin Name]],1)="U",LEFT(Table1[[#This Row],[Coin Name]],1)="B",LEFT(Table1[[#This Row],[Coin Name]],1)="C",LEFT(Table1[[#This Row],[Coin Name]],1)="D"),"Yes","No")</f>
        <v>No</v>
      </c>
      <c r="M81" s="43">
        <f t="shared" si="26"/>
        <v>2.085E-2</v>
      </c>
      <c r="N81" s="43">
        <f t="shared" si="27"/>
        <v>2.0590558957140036E-2</v>
      </c>
      <c r="O81" s="43" t="str">
        <f t="shared" si="28"/>
        <v>Up to $10</v>
      </c>
      <c r="P81" s="43">
        <f t="shared" si="29"/>
        <v>2.5944104285996472E-4</v>
      </c>
      <c r="Q81" s="43">
        <f t="shared" si="30"/>
        <v>-1.26E-2</v>
      </c>
      <c r="R81" s="43" t="str">
        <f t="shared" si="31"/>
        <v>$0-$5</v>
      </c>
      <c r="S81" s="45" t="str">
        <f t="shared" si="32"/>
        <v>&gt;$50</v>
      </c>
    </row>
    <row r="82" spans="1:19" x14ac:dyDescent="0.35">
      <c r="A82" s="43" t="s">
        <v>87</v>
      </c>
      <c r="B82" s="43" t="s">
        <v>283</v>
      </c>
      <c r="C82" s="43" t="s">
        <v>472</v>
      </c>
      <c r="D82" s="44">
        <v>4.1999999999999997E-3</v>
      </c>
      <c r="E82" s="43">
        <f>D82</f>
        <v>4.1999999999999997E-3</v>
      </c>
      <c r="F82" s="43">
        <f t="shared" si="24"/>
        <v>-4.1999999999999997E-3</v>
      </c>
      <c r="G82" s="43">
        <f t="shared" si="25"/>
        <v>4.1999999999999997E-3</v>
      </c>
      <c r="H82" s="43" t="s">
        <v>672</v>
      </c>
      <c r="I82" s="43" t="s">
        <v>832</v>
      </c>
      <c r="J82" s="43">
        <f>IFERROR(VALUE(SUBSTITUTE(SUBSTITUTE(Table1[[#This Row],[Volume (24h) USD]],"$",""),",","")),0)</f>
        <v>2554402</v>
      </c>
      <c r="K82" s="43" t="s">
        <v>1026</v>
      </c>
      <c r="L82" s="43" t="str">
        <f>IF(OR(LEFT(Table1[[#This Row],[Coin Name]],1)="A",LEFT(Table1[[#This Row],[Coin Name]],1)="E",LEFT(Table1[[#This Row],[Coin Name]],1)="I",LEFT(Table1[[#This Row],[Coin Name]],1)="O",LEFT(Table1[[#This Row],[Coin Name]],1)="U",LEFT(Table1[[#This Row],[Coin Name]],1)="B",LEFT(Table1[[#This Row],[Coin Name]],1)="C",LEFT(Table1[[#This Row],[Coin Name]],1)="D"),"Yes","No")</f>
        <v>No</v>
      </c>
      <c r="M82" s="43">
        <f t="shared" si="26"/>
        <v>2.2439999999999999E-3</v>
      </c>
      <c r="N82" s="43">
        <f t="shared" si="27"/>
        <v>2.2346146186018722E-3</v>
      </c>
      <c r="O82" s="43" t="str">
        <f t="shared" si="28"/>
        <v>Up to $10</v>
      </c>
      <c r="P82" s="43">
        <f t="shared" si="29"/>
        <v>9.3853813981276991E-6</v>
      </c>
      <c r="Q82" s="43">
        <f t="shared" si="30"/>
        <v>-4.1999999999999997E-3</v>
      </c>
      <c r="R82" s="43" t="str">
        <f t="shared" si="31"/>
        <v>$0-$5</v>
      </c>
      <c r="S82" s="45" t="str">
        <f t="shared" si="32"/>
        <v>&gt;$50</v>
      </c>
    </row>
    <row r="83" spans="1:19" x14ac:dyDescent="0.35">
      <c r="A83" s="43" t="s">
        <v>88</v>
      </c>
      <c r="B83" s="43" t="s">
        <v>284</v>
      </c>
      <c r="C83" s="43" t="s">
        <v>473</v>
      </c>
      <c r="D83" s="44">
        <v>4.24E-2</v>
      </c>
      <c r="E83" s="43">
        <f>D83</f>
        <v>4.24E-2</v>
      </c>
      <c r="F83" s="43">
        <f t="shared" si="24"/>
        <v>-4.24E-2</v>
      </c>
      <c r="G83" s="43">
        <f t="shared" si="25"/>
        <v>4.24E-2</v>
      </c>
      <c r="H83" s="43" t="s">
        <v>673</v>
      </c>
      <c r="I83" s="43" t="s">
        <v>833</v>
      </c>
      <c r="J83" s="43">
        <f>IFERROR(VALUE(SUBSTITUTE(SUBSTITUTE(Table1[[#This Row],[Volume (24h) USD]],"$",""),",","")),0)</f>
        <v>174082</v>
      </c>
      <c r="K83" s="43" t="s">
        <v>1027</v>
      </c>
      <c r="L83" s="43" t="str">
        <f>IF(OR(LEFT(Table1[[#This Row],[Coin Name]],1)="A",LEFT(Table1[[#This Row],[Coin Name]],1)="E",LEFT(Table1[[#This Row],[Coin Name]],1)="I",LEFT(Table1[[#This Row],[Coin Name]],1)="O",LEFT(Table1[[#This Row],[Coin Name]],1)="U",LEFT(Table1[[#This Row],[Coin Name]],1)="B",LEFT(Table1[[#This Row],[Coin Name]],1)="C",LEFT(Table1[[#This Row],[Coin Name]],1)="D"),"Yes","No")</f>
        <v>No</v>
      </c>
      <c r="M83" s="43">
        <f t="shared" si="26"/>
        <v>2.0410000000000001E-2</v>
      </c>
      <c r="N83" s="43">
        <f t="shared" si="27"/>
        <v>1.9579815809669995E-2</v>
      </c>
      <c r="O83" s="43" t="str">
        <f t="shared" si="28"/>
        <v>Up to $10</v>
      </c>
      <c r="P83" s="43">
        <f t="shared" si="29"/>
        <v>8.301841903300064E-4</v>
      </c>
      <c r="Q83" s="43">
        <f t="shared" si="30"/>
        <v>-4.24E-2</v>
      </c>
      <c r="R83" s="43" t="str">
        <f t="shared" si="31"/>
        <v>$0-$5</v>
      </c>
      <c r="S83" s="45" t="str">
        <f t="shared" si="32"/>
        <v>&gt;$50</v>
      </c>
    </row>
    <row r="84" spans="1:19" x14ac:dyDescent="0.35">
      <c r="A84" s="43" t="s">
        <v>89</v>
      </c>
      <c r="B84" s="43" t="s">
        <v>285</v>
      </c>
      <c r="C84" s="43" t="s">
        <v>474</v>
      </c>
      <c r="D84" s="44">
        <v>2.0000000000000001E-4</v>
      </c>
      <c r="E84" s="43">
        <f>D84</f>
        <v>2.0000000000000001E-4</v>
      </c>
      <c r="F84" s="43">
        <f t="shared" si="24"/>
        <v>-2.0000000000000001E-4</v>
      </c>
      <c r="G84" s="43">
        <f t="shared" si="25"/>
        <v>2.0000000000000001E-4</v>
      </c>
      <c r="H84" s="43" t="s">
        <v>674</v>
      </c>
      <c r="I84" s="43" t="s">
        <v>834</v>
      </c>
      <c r="J84" s="43">
        <f>IFERROR(VALUE(SUBSTITUTE(SUBSTITUTE(Table1[[#This Row],[Volume (24h) USD]],"$",""),",","")),0)</f>
        <v>362962</v>
      </c>
      <c r="K84" s="43" t="s">
        <v>1028</v>
      </c>
      <c r="L84" s="43" t="str">
        <f>IF(OR(LEFT(Table1[[#This Row],[Coin Name]],1)="A",LEFT(Table1[[#This Row],[Coin Name]],1)="E",LEFT(Table1[[#This Row],[Coin Name]],1)="I",LEFT(Table1[[#This Row],[Coin Name]],1)="O",LEFT(Table1[[#This Row],[Coin Name]],1)="U",LEFT(Table1[[#This Row],[Coin Name]],1)="B",LEFT(Table1[[#This Row],[Coin Name]],1)="C",LEFT(Table1[[#This Row],[Coin Name]],1)="D"),"Yes","No")</f>
        <v>No</v>
      </c>
      <c r="M84" s="43">
        <f t="shared" si="26"/>
        <v>1.2229999999999999E-3</v>
      </c>
      <c r="N84" s="43">
        <f t="shared" si="27"/>
        <v>1.2227554489102179E-3</v>
      </c>
      <c r="O84" s="43" t="str">
        <f t="shared" si="28"/>
        <v>Up to $10</v>
      </c>
      <c r="P84" s="43">
        <f t="shared" si="29"/>
        <v>2.4455108978203681E-7</v>
      </c>
      <c r="Q84" s="43">
        <f t="shared" si="30"/>
        <v>-2.0000000000000001E-4</v>
      </c>
      <c r="R84" s="43" t="str">
        <f t="shared" si="31"/>
        <v>$0-$5</v>
      </c>
      <c r="S84" s="45" t="str">
        <f t="shared" si="32"/>
        <v>&gt;$50</v>
      </c>
    </row>
    <row r="85" spans="1:19" x14ac:dyDescent="0.35">
      <c r="A85" s="43" t="s">
        <v>190</v>
      </c>
      <c r="B85" s="43" t="s">
        <v>378</v>
      </c>
      <c r="C85" s="43" t="s">
        <v>575</v>
      </c>
      <c r="D85" s="44">
        <v>6.7999999999999996E-3</v>
      </c>
      <c r="E85" s="43">
        <f>D85</f>
        <v>6.7999999999999996E-3</v>
      </c>
      <c r="F85" s="43">
        <f t="shared" si="24"/>
        <v>-6.7999999999999996E-3</v>
      </c>
      <c r="G85" s="43">
        <f t="shared" si="25"/>
        <v>6.7999999999999996E-3</v>
      </c>
      <c r="H85" s="43" t="s">
        <v>745</v>
      </c>
      <c r="I85" s="43" t="s">
        <v>931</v>
      </c>
      <c r="J85" s="43">
        <f>IFERROR(VALUE(SUBSTITUTE(SUBSTITUTE(Table1[[#This Row],[Volume (24h) USD]],"$",""),",","")),0)</f>
        <v>1660204</v>
      </c>
      <c r="K85" s="43" t="s">
        <v>1125</v>
      </c>
      <c r="L85" s="43" t="str">
        <f>IF(OR(LEFT(Table1[[#This Row],[Coin Name]],1)="A",LEFT(Table1[[#This Row],[Coin Name]],1)="E",LEFT(Table1[[#This Row],[Coin Name]],1)="I",LEFT(Table1[[#This Row],[Coin Name]],1)="O",LEFT(Table1[[#This Row],[Coin Name]],1)="U",LEFT(Table1[[#This Row],[Coin Name]],1)="B",LEFT(Table1[[#This Row],[Coin Name]],1)="C",LEFT(Table1[[#This Row],[Coin Name]],1)="D"),"Yes","No")</f>
        <v>Yes</v>
      </c>
      <c r="M85" s="43">
        <f t="shared" si="26"/>
        <v>5.9199999999999997E-4</v>
      </c>
      <c r="N85" s="43">
        <f t="shared" si="27"/>
        <v>5.8800158919348436E-4</v>
      </c>
      <c r="O85" s="43" t="str">
        <f t="shared" si="28"/>
        <v>Up to $10</v>
      </c>
      <c r="P85" s="43">
        <f t="shared" si="29"/>
        <v>3.9984108065156069E-6</v>
      </c>
      <c r="Q85" s="43">
        <f t="shared" si="30"/>
        <v>-6.7999999999999996E-3</v>
      </c>
      <c r="R85" s="43" t="str">
        <f t="shared" si="31"/>
        <v>$0-$5</v>
      </c>
      <c r="S85" s="45" t="str">
        <f t="shared" ref="S85:S87" si="35">IF(M85&lt;=0.05,"$0-$0.05",IF(M85&lt;=0.5,"$0.05-$0.5",IF(M85&lt;=5,"$0.5-$5",IF(M85&lt;=50,"$5-$50","&gt;$50"))))</f>
        <v>$0-$0.05</v>
      </c>
    </row>
    <row r="86" spans="1:19" x14ac:dyDescent="0.35">
      <c r="A86" s="43" t="s">
        <v>103</v>
      </c>
      <c r="B86" s="43" t="s">
        <v>299</v>
      </c>
      <c r="C86" s="43" t="s">
        <v>488</v>
      </c>
      <c r="D86" s="44">
        <v>5.9999999999999995E-4</v>
      </c>
      <c r="E86" s="43">
        <f>D86</f>
        <v>5.9999999999999995E-4</v>
      </c>
      <c r="F86" s="43">
        <f t="shared" si="24"/>
        <v>-5.9999999999999995E-4</v>
      </c>
      <c r="G86" s="43">
        <f t="shared" si="25"/>
        <v>5.9999999999999995E-4</v>
      </c>
      <c r="H86" s="43" t="s">
        <v>688</v>
      </c>
      <c r="I86" s="43" t="s">
        <v>848</v>
      </c>
      <c r="J86" s="43">
        <f>IFERROR(VALUE(SUBSTITUTE(SUBSTITUTE(Table1[[#This Row],[Volume (24h) USD]],"$",""),",","")),0)</f>
        <v>1639272</v>
      </c>
      <c r="K86" s="43" t="s">
        <v>1041</v>
      </c>
      <c r="L86" s="43" t="str">
        <f>IF(OR(LEFT(Table1[[#This Row],[Coin Name]],1)="A",LEFT(Table1[[#This Row],[Coin Name]],1)="E",LEFT(Table1[[#This Row],[Coin Name]],1)="I",LEFT(Table1[[#This Row],[Coin Name]],1)="O",LEFT(Table1[[#This Row],[Coin Name]],1)="U",LEFT(Table1[[#This Row],[Coin Name]],1)="B",LEFT(Table1[[#This Row],[Coin Name]],1)="C",LEFT(Table1[[#This Row],[Coin Name]],1)="D"),"Yes","No")</f>
        <v>Yes</v>
      </c>
      <c r="M86" s="43">
        <f t="shared" si="26"/>
        <v>108.17</v>
      </c>
      <c r="N86" s="43">
        <f t="shared" si="27"/>
        <v>108.10513691784929</v>
      </c>
      <c r="O86" s="43" t="str">
        <f t="shared" si="28"/>
        <v>&gt;= $10</v>
      </c>
      <c r="P86" s="43">
        <f t="shared" si="29"/>
        <v>6.4863082150708351E-2</v>
      </c>
      <c r="Q86" s="43">
        <f t="shared" si="30"/>
        <v>-5.9999999999999995E-4</v>
      </c>
      <c r="R86" s="43" t="str">
        <f t="shared" si="31"/>
        <v>&gt;$5</v>
      </c>
      <c r="S86" s="45" t="str">
        <f t="shared" si="35"/>
        <v>&gt;$50</v>
      </c>
    </row>
    <row r="87" spans="1:19" x14ac:dyDescent="0.35">
      <c r="A87" s="43" t="s">
        <v>63</v>
      </c>
      <c r="B87" s="43" t="s">
        <v>259</v>
      </c>
      <c r="C87" s="43" t="s">
        <v>448</v>
      </c>
      <c r="D87" s="44">
        <v>5.7000000000000002E-3</v>
      </c>
      <c r="E87" s="43">
        <f>D87</f>
        <v>5.7000000000000002E-3</v>
      </c>
      <c r="F87" s="43">
        <f t="shared" si="24"/>
        <v>-5.7000000000000002E-3</v>
      </c>
      <c r="G87" s="43">
        <f t="shared" si="25"/>
        <v>5.7000000000000002E-3</v>
      </c>
      <c r="H87" s="43" t="s">
        <v>648</v>
      </c>
      <c r="I87" s="43" t="s">
        <v>808</v>
      </c>
      <c r="J87" s="43">
        <f>IFERROR(VALUE(SUBSTITUTE(SUBSTITUTE(Table1[[#This Row],[Volume (24h) USD]],"$",""),",","")),0)</f>
        <v>1414981</v>
      </c>
      <c r="K87" s="43" t="s">
        <v>1002</v>
      </c>
      <c r="L87" s="43" t="str">
        <f>IF(OR(LEFT(Table1[[#This Row],[Coin Name]],1)="A",LEFT(Table1[[#This Row],[Coin Name]],1)="E",LEFT(Table1[[#This Row],[Coin Name]],1)="I",LEFT(Table1[[#This Row],[Coin Name]],1)="O",LEFT(Table1[[#This Row],[Coin Name]],1)="U",LEFT(Table1[[#This Row],[Coin Name]],1)="B",LEFT(Table1[[#This Row],[Coin Name]],1)="C",LEFT(Table1[[#This Row],[Coin Name]],1)="D"),"Yes","No")</f>
        <v>Yes</v>
      </c>
      <c r="M87" s="43">
        <f t="shared" si="26"/>
        <v>5.1249999999999999E-5</v>
      </c>
      <c r="N87" s="43">
        <f t="shared" si="27"/>
        <v>5.0959530675151633E-5</v>
      </c>
      <c r="O87" s="43" t="str">
        <f t="shared" si="28"/>
        <v>Up to $10</v>
      </c>
      <c r="P87" s="43">
        <f t="shared" si="29"/>
        <v>2.9046932484836545E-7</v>
      </c>
      <c r="Q87" s="43">
        <f t="shared" si="30"/>
        <v>-5.7000000000000002E-3</v>
      </c>
      <c r="R87" s="43" t="str">
        <f t="shared" si="31"/>
        <v>$0-$5</v>
      </c>
      <c r="S87" s="45" t="str">
        <f t="shared" si="35"/>
        <v>$0-$0.05</v>
      </c>
    </row>
    <row r="88" spans="1:19" x14ac:dyDescent="0.35">
      <c r="A88" s="43" t="s">
        <v>93</v>
      </c>
      <c r="B88" s="43" t="s">
        <v>289</v>
      </c>
      <c r="C88" s="43" t="s">
        <v>478</v>
      </c>
      <c r="D88" s="44">
        <v>1.04E-2</v>
      </c>
      <c r="E88" s="43">
        <f>D88</f>
        <v>1.04E-2</v>
      </c>
      <c r="F88" s="43">
        <f t="shared" si="24"/>
        <v>-1.04E-2</v>
      </c>
      <c r="G88" s="43">
        <f t="shared" si="25"/>
        <v>1.04E-2</v>
      </c>
      <c r="H88" s="43" t="s">
        <v>678</v>
      </c>
      <c r="I88" s="43" t="s">
        <v>838</v>
      </c>
      <c r="J88" s="43">
        <f>IFERROR(VALUE(SUBSTITUTE(SUBSTITUTE(Table1[[#This Row],[Volume (24h) USD]],"$",""),",","")),0)</f>
        <v>2452497</v>
      </c>
      <c r="K88" s="43" t="s">
        <v>1032</v>
      </c>
      <c r="L88" s="43" t="str">
        <f>IF(OR(LEFT(Table1[[#This Row],[Coin Name]],1)="A",LEFT(Table1[[#This Row],[Coin Name]],1)="E",LEFT(Table1[[#This Row],[Coin Name]],1)="I",LEFT(Table1[[#This Row],[Coin Name]],1)="O",LEFT(Table1[[#This Row],[Coin Name]],1)="U",LEFT(Table1[[#This Row],[Coin Name]],1)="B",LEFT(Table1[[#This Row],[Coin Name]],1)="C",LEFT(Table1[[#This Row],[Coin Name]],1)="D"),"Yes","No")</f>
        <v>No</v>
      </c>
      <c r="M88" s="43">
        <f t="shared" si="26"/>
        <v>5.1970000000000002E-2</v>
      </c>
      <c r="N88" s="43">
        <f t="shared" si="27"/>
        <v>5.1435075217735556E-2</v>
      </c>
      <c r="O88" s="43" t="str">
        <f t="shared" si="28"/>
        <v>Up to $10</v>
      </c>
      <c r="P88" s="43">
        <f t="shared" si="29"/>
        <v>5.3492478226444679E-4</v>
      </c>
      <c r="Q88" s="43">
        <f t="shared" si="30"/>
        <v>-1.04E-2</v>
      </c>
      <c r="R88" s="43" t="str">
        <f t="shared" si="31"/>
        <v>$0-$5</v>
      </c>
      <c r="S88" s="45" t="str">
        <f t="shared" si="32"/>
        <v>&gt;$50</v>
      </c>
    </row>
    <row r="89" spans="1:19" x14ac:dyDescent="0.35">
      <c r="A89" s="43" t="s">
        <v>94</v>
      </c>
      <c r="B89" s="43" t="s">
        <v>290</v>
      </c>
      <c r="C89" s="43" t="s">
        <v>479</v>
      </c>
      <c r="D89" s="44">
        <v>5.4999999999999997E-3</v>
      </c>
      <c r="E89" s="43">
        <f>D89</f>
        <v>5.4999999999999997E-3</v>
      </c>
      <c r="F89" s="43">
        <f t="shared" si="24"/>
        <v>-5.4999999999999997E-3</v>
      </c>
      <c r="G89" s="43">
        <f t="shared" si="25"/>
        <v>5.4999999999999997E-3</v>
      </c>
      <c r="H89" s="43" t="s">
        <v>679</v>
      </c>
      <c r="I89" s="43" t="s">
        <v>839</v>
      </c>
      <c r="J89" s="43">
        <f>IFERROR(VALUE(SUBSTITUTE(SUBSTITUTE(Table1[[#This Row],[Volume (24h) USD]],"$",""),",","")),0)</f>
        <v>45</v>
      </c>
      <c r="K89" s="43" t="s">
        <v>963</v>
      </c>
      <c r="L89" s="43" t="str">
        <f>IF(OR(LEFT(Table1[[#This Row],[Coin Name]],1)="A",LEFT(Table1[[#This Row],[Coin Name]],1)="E",LEFT(Table1[[#This Row],[Coin Name]],1)="I",LEFT(Table1[[#This Row],[Coin Name]],1)="O",LEFT(Table1[[#This Row],[Coin Name]],1)="U",LEFT(Table1[[#This Row],[Coin Name]],1)="B",LEFT(Table1[[#This Row],[Coin Name]],1)="C",LEFT(Table1[[#This Row],[Coin Name]],1)="D"),"Yes","No")</f>
        <v>No</v>
      </c>
      <c r="M89" s="43">
        <f t="shared" si="26"/>
        <v>1.7489999999999999E-2</v>
      </c>
      <c r="N89" s="43">
        <f t="shared" si="27"/>
        <v>1.7394331178518147E-2</v>
      </c>
      <c r="O89" s="43" t="str">
        <f t="shared" si="28"/>
        <v>Up to $10</v>
      </c>
      <c r="P89" s="43">
        <f t="shared" si="29"/>
        <v>9.5668821481851435E-5</v>
      </c>
      <c r="Q89" s="43">
        <f t="shared" si="30"/>
        <v>-5.4999999999999997E-3</v>
      </c>
      <c r="R89" s="43" t="str">
        <f t="shared" si="31"/>
        <v>$0-$5</v>
      </c>
      <c r="S89" s="45" t="str">
        <f t="shared" si="32"/>
        <v>&gt;$50</v>
      </c>
    </row>
    <row r="90" spans="1:19" x14ac:dyDescent="0.35">
      <c r="A90" s="43" t="s">
        <v>114</v>
      </c>
      <c r="B90" s="43" t="s">
        <v>310</v>
      </c>
      <c r="C90" s="43" t="s">
        <v>499</v>
      </c>
      <c r="D90" s="44">
        <v>1.41E-2</v>
      </c>
      <c r="E90" s="43">
        <f>D90</f>
        <v>1.41E-2</v>
      </c>
      <c r="F90" s="43">
        <f t="shared" si="24"/>
        <v>-1.41E-2</v>
      </c>
      <c r="G90" s="43">
        <f t="shared" si="25"/>
        <v>1.41E-2</v>
      </c>
      <c r="H90" s="43" t="s">
        <v>695</v>
      </c>
      <c r="I90" s="43" t="s">
        <v>859</v>
      </c>
      <c r="J90" s="43">
        <f>IFERROR(VALUE(SUBSTITUTE(SUBSTITUTE(Table1[[#This Row],[Volume (24h) USD]],"$",""),",","")),0)</f>
        <v>1407422</v>
      </c>
      <c r="K90" s="43" t="s">
        <v>1052</v>
      </c>
      <c r="L90" s="43" t="str">
        <f>IF(OR(LEFT(Table1[[#This Row],[Coin Name]],1)="A",LEFT(Table1[[#This Row],[Coin Name]],1)="E",LEFT(Table1[[#This Row],[Coin Name]],1)="I",LEFT(Table1[[#This Row],[Coin Name]],1)="O",LEFT(Table1[[#This Row],[Coin Name]],1)="U",LEFT(Table1[[#This Row],[Coin Name]],1)="B",LEFT(Table1[[#This Row],[Coin Name]],1)="C",LEFT(Table1[[#This Row],[Coin Name]],1)="D"),"Yes","No")</f>
        <v>Yes</v>
      </c>
      <c r="M90" s="43">
        <f t="shared" si="26"/>
        <v>2.198E-2</v>
      </c>
      <c r="N90" s="43">
        <f t="shared" si="27"/>
        <v>2.1674391085691747E-2</v>
      </c>
      <c r="O90" s="43" t="str">
        <f t="shared" si="28"/>
        <v>Up to $10</v>
      </c>
      <c r="P90" s="43">
        <f t="shared" si="29"/>
        <v>3.0560891430825299E-4</v>
      </c>
      <c r="Q90" s="43">
        <f t="shared" si="30"/>
        <v>-1.41E-2</v>
      </c>
      <c r="R90" s="43" t="str">
        <f t="shared" si="31"/>
        <v>$0-$5</v>
      </c>
      <c r="S90" s="45" t="str">
        <f t="shared" ref="S90:S91" si="36">IF(M90&lt;=0.05,"$0-$0.05",IF(M90&lt;=0.5,"$0.05-$0.5",IF(M90&lt;=5,"$0.5-$5",IF(M90&lt;=50,"$5-$50","&gt;$50"))))</f>
        <v>$0-$0.05</v>
      </c>
    </row>
    <row r="91" spans="1:19" x14ac:dyDescent="0.35">
      <c r="A91" s="43" t="s">
        <v>51</v>
      </c>
      <c r="B91" s="43" t="s">
        <v>247</v>
      </c>
      <c r="C91" s="43" t="s">
        <v>436</v>
      </c>
      <c r="D91" s="44">
        <v>1.6999999999999999E-3</v>
      </c>
      <c r="E91" s="43">
        <f>D91</f>
        <v>1.6999999999999999E-3</v>
      </c>
      <c r="F91" s="43">
        <f t="shared" si="24"/>
        <v>-1.6999999999999999E-3</v>
      </c>
      <c r="G91" s="43">
        <f t="shared" si="25"/>
        <v>1.6999999999999999E-3</v>
      </c>
      <c r="H91" s="43" t="s">
        <v>636</v>
      </c>
      <c r="I91" s="43" t="s">
        <v>796</v>
      </c>
      <c r="J91" s="43">
        <f>IFERROR(VALUE(SUBSTITUTE(SUBSTITUTE(Table1[[#This Row],[Volume (24h) USD]],"$",""),",","")),0)</f>
        <v>1356568</v>
      </c>
      <c r="K91" s="43" t="s">
        <v>990</v>
      </c>
      <c r="L91" s="43" t="str">
        <f>IF(OR(LEFT(Table1[[#This Row],[Coin Name]],1)="A",LEFT(Table1[[#This Row],[Coin Name]],1)="E",LEFT(Table1[[#This Row],[Coin Name]],1)="I",LEFT(Table1[[#This Row],[Coin Name]],1)="O",LEFT(Table1[[#This Row],[Coin Name]],1)="U",LEFT(Table1[[#This Row],[Coin Name]],1)="B",LEFT(Table1[[#This Row],[Coin Name]],1)="C",LEFT(Table1[[#This Row],[Coin Name]],1)="D"),"Yes","No")</f>
        <v>Yes</v>
      </c>
      <c r="M91" s="43">
        <f t="shared" si="26"/>
        <v>1.5440000000000001E-2</v>
      </c>
      <c r="N91" s="43">
        <f t="shared" si="27"/>
        <v>1.5413796545872018E-2</v>
      </c>
      <c r="O91" s="43" t="str">
        <f t="shared" si="28"/>
        <v>Up to $10</v>
      </c>
      <c r="P91" s="43">
        <f t="shared" si="29"/>
        <v>2.6203454127982431E-5</v>
      </c>
      <c r="Q91" s="43">
        <f t="shared" si="30"/>
        <v>-1.6999999999999999E-3</v>
      </c>
      <c r="R91" s="43" t="str">
        <f t="shared" si="31"/>
        <v>$0-$5</v>
      </c>
      <c r="S91" s="45" t="str">
        <f t="shared" si="36"/>
        <v>$0-$0.05</v>
      </c>
    </row>
    <row r="92" spans="1:19" x14ac:dyDescent="0.35">
      <c r="A92" s="43" t="s">
        <v>97</v>
      </c>
      <c r="B92" s="43" t="s">
        <v>293</v>
      </c>
      <c r="C92" s="43" t="s">
        <v>482</v>
      </c>
      <c r="D92" s="44">
        <v>9.5999999999999992E-3</v>
      </c>
      <c r="E92" s="43">
        <f>D92</f>
        <v>9.5999999999999992E-3</v>
      </c>
      <c r="F92" s="43">
        <f t="shared" si="24"/>
        <v>-9.5999999999999992E-3</v>
      </c>
      <c r="G92" s="43">
        <f t="shared" si="25"/>
        <v>9.5999999999999992E-3</v>
      </c>
      <c r="H92" s="43" t="s">
        <v>682</v>
      </c>
      <c r="I92" s="43" t="s">
        <v>842</v>
      </c>
      <c r="J92" s="43">
        <f>IFERROR(VALUE(SUBSTITUTE(SUBSTITUTE(Table1[[#This Row],[Volume (24h) USD]],"$",""),",","")),0)</f>
        <v>4797522</v>
      </c>
      <c r="K92" s="43" t="s">
        <v>1035</v>
      </c>
      <c r="L92" s="43" t="str">
        <f>IF(OR(LEFT(Table1[[#This Row],[Coin Name]],1)="A",LEFT(Table1[[#This Row],[Coin Name]],1)="E",LEFT(Table1[[#This Row],[Coin Name]],1)="I",LEFT(Table1[[#This Row],[Coin Name]],1)="O",LEFT(Table1[[#This Row],[Coin Name]],1)="U",LEFT(Table1[[#This Row],[Coin Name]],1)="B",LEFT(Table1[[#This Row],[Coin Name]],1)="C",LEFT(Table1[[#This Row],[Coin Name]],1)="D"),"Yes","No")</f>
        <v>No</v>
      </c>
      <c r="M92" s="43">
        <f t="shared" si="26"/>
        <v>4.41E-2</v>
      </c>
      <c r="N92" s="43">
        <f t="shared" si="27"/>
        <v>4.3680665610142631E-2</v>
      </c>
      <c r="O92" s="43" t="str">
        <f t="shared" si="28"/>
        <v>Up to $10</v>
      </c>
      <c r="P92" s="43">
        <f t="shared" si="29"/>
        <v>4.1933438985736898E-4</v>
      </c>
      <c r="Q92" s="43">
        <f t="shared" si="30"/>
        <v>-9.5999999999999992E-3</v>
      </c>
      <c r="R92" s="43" t="str">
        <f t="shared" si="31"/>
        <v>$0-$5</v>
      </c>
      <c r="S92" s="45" t="str">
        <f t="shared" si="32"/>
        <v>&gt;$50</v>
      </c>
    </row>
    <row r="93" spans="1:19" x14ac:dyDescent="0.35">
      <c r="A93" s="43" t="s">
        <v>98</v>
      </c>
      <c r="B93" s="43" t="s">
        <v>294</v>
      </c>
      <c r="C93" s="43" t="s">
        <v>483</v>
      </c>
      <c r="D93" s="44">
        <v>4.0000000000000001E-3</v>
      </c>
      <c r="E93" s="43">
        <f>D93</f>
        <v>4.0000000000000001E-3</v>
      </c>
      <c r="F93" s="43">
        <f t="shared" si="24"/>
        <v>-4.0000000000000001E-3</v>
      </c>
      <c r="G93" s="43">
        <f t="shared" si="25"/>
        <v>4.0000000000000001E-3</v>
      </c>
      <c r="H93" s="43" t="s">
        <v>683</v>
      </c>
      <c r="I93" s="43" t="s">
        <v>843</v>
      </c>
      <c r="J93" s="43">
        <f>IFERROR(VALUE(SUBSTITUTE(SUBSTITUTE(Table1[[#This Row],[Volume (24h) USD]],"$",""),",","")),0)</f>
        <v>884405</v>
      </c>
      <c r="K93" s="43" t="s">
        <v>1036</v>
      </c>
      <c r="L93" s="43" t="str">
        <f>IF(OR(LEFT(Table1[[#This Row],[Coin Name]],1)="A",LEFT(Table1[[#This Row],[Coin Name]],1)="E",LEFT(Table1[[#This Row],[Coin Name]],1)="I",LEFT(Table1[[#This Row],[Coin Name]],1)="O",LEFT(Table1[[#This Row],[Coin Name]],1)="U",LEFT(Table1[[#This Row],[Coin Name]],1)="B",LEFT(Table1[[#This Row],[Coin Name]],1)="C",LEFT(Table1[[#This Row],[Coin Name]],1)="D"),"Yes","No")</f>
        <v>No</v>
      </c>
      <c r="M93" s="43">
        <f t="shared" si="26"/>
        <v>1.8370000000000001E-2</v>
      </c>
      <c r="N93" s="43">
        <f t="shared" si="27"/>
        <v>1.8296812749003986E-2</v>
      </c>
      <c r="O93" s="43" t="str">
        <f t="shared" si="28"/>
        <v>Up to $10</v>
      </c>
      <c r="P93" s="43">
        <f t="shared" si="29"/>
        <v>7.3187250996014502E-5</v>
      </c>
      <c r="Q93" s="43">
        <f t="shared" si="30"/>
        <v>-4.0000000000000001E-3</v>
      </c>
      <c r="R93" s="43" t="str">
        <f t="shared" si="31"/>
        <v>$0-$5</v>
      </c>
      <c r="S93" s="45" t="str">
        <f t="shared" si="32"/>
        <v>&gt;$50</v>
      </c>
    </row>
    <row r="94" spans="1:19" x14ac:dyDescent="0.35">
      <c r="A94" s="43" t="s">
        <v>200</v>
      </c>
      <c r="B94" s="43" t="s">
        <v>386</v>
      </c>
      <c r="C94" s="43" t="s">
        <v>585</v>
      </c>
      <c r="D94" s="44">
        <v>1.9E-3</v>
      </c>
      <c r="E94" s="43">
        <f>D94</f>
        <v>1.9E-3</v>
      </c>
      <c r="F94" s="43">
        <f t="shared" si="24"/>
        <v>-1.9E-3</v>
      </c>
      <c r="G94" s="43">
        <f t="shared" si="25"/>
        <v>1.9E-3</v>
      </c>
      <c r="H94" s="43" t="s">
        <v>748</v>
      </c>
      <c r="I94" s="43" t="s">
        <v>939</v>
      </c>
      <c r="J94" s="43">
        <f>IFERROR(VALUE(SUBSTITUTE(SUBSTITUTE(Table1[[#This Row],[Volume (24h) USD]],"$",""),",","")),0)</f>
        <v>1332029</v>
      </c>
      <c r="K94" s="43" t="s">
        <v>1133</v>
      </c>
      <c r="L94" s="43" t="str">
        <f>IF(OR(LEFT(Table1[[#This Row],[Coin Name]],1)="A",LEFT(Table1[[#This Row],[Coin Name]],1)="E",LEFT(Table1[[#This Row],[Coin Name]],1)="I",LEFT(Table1[[#This Row],[Coin Name]],1)="O",LEFT(Table1[[#This Row],[Coin Name]],1)="U",LEFT(Table1[[#This Row],[Coin Name]],1)="B",LEFT(Table1[[#This Row],[Coin Name]],1)="C",LEFT(Table1[[#This Row],[Coin Name]],1)="D"),"Yes","No")</f>
        <v>Yes</v>
      </c>
      <c r="M94" s="43">
        <f t="shared" si="26"/>
        <v>6.265E-4</v>
      </c>
      <c r="N94" s="43">
        <f t="shared" si="27"/>
        <v>6.2531190737598558E-4</v>
      </c>
      <c r="O94" s="43" t="str">
        <f t="shared" si="28"/>
        <v>Up to $10</v>
      </c>
      <c r="P94" s="43">
        <f t="shared" si="29"/>
        <v>1.1880926240144182E-6</v>
      </c>
      <c r="Q94" s="43">
        <f t="shared" si="30"/>
        <v>-1.9E-3</v>
      </c>
      <c r="R94" s="43" t="str">
        <f t="shared" si="31"/>
        <v>$0-$5</v>
      </c>
      <c r="S94" s="45" t="str">
        <f t="shared" ref="S94:S96" si="37">IF(M94&lt;=0.05,"$0-$0.05",IF(M94&lt;=0.5,"$0.05-$0.5",IF(M94&lt;=5,"$0.5-$5",IF(M94&lt;=50,"$5-$50","&gt;$50"))))</f>
        <v>$0-$0.05</v>
      </c>
    </row>
    <row r="95" spans="1:19" x14ac:dyDescent="0.35">
      <c r="A95" s="43" t="s">
        <v>121</v>
      </c>
      <c r="B95" s="43" t="s">
        <v>212</v>
      </c>
      <c r="C95" s="43" t="s">
        <v>506</v>
      </c>
      <c r="D95" s="44">
        <v>1.3899999999999999E-2</v>
      </c>
      <c r="E95" s="43">
        <f>D95</f>
        <v>1.3899999999999999E-2</v>
      </c>
      <c r="F95" s="43">
        <f t="shared" si="24"/>
        <v>-1.3899999999999999E-2</v>
      </c>
      <c r="G95" s="43">
        <f t="shared" si="25"/>
        <v>1.3899999999999999E-2</v>
      </c>
      <c r="H95" s="43" t="s">
        <v>701</v>
      </c>
      <c r="I95" s="43" t="s">
        <v>866</v>
      </c>
      <c r="J95" s="43">
        <f>IFERROR(VALUE(SUBSTITUTE(SUBSTITUTE(Table1[[#This Row],[Volume (24h) USD]],"$",""),",","")),0)</f>
        <v>1315522</v>
      </c>
      <c r="K95" s="43" t="s">
        <v>1059</v>
      </c>
      <c r="L95" s="43" t="str">
        <f>IF(OR(LEFT(Table1[[#This Row],[Coin Name]],1)="A",LEFT(Table1[[#This Row],[Coin Name]],1)="E",LEFT(Table1[[#This Row],[Coin Name]],1)="I",LEFT(Table1[[#This Row],[Coin Name]],1)="O",LEFT(Table1[[#This Row],[Coin Name]],1)="U",LEFT(Table1[[#This Row],[Coin Name]],1)="B",LEFT(Table1[[#This Row],[Coin Name]],1)="C",LEFT(Table1[[#This Row],[Coin Name]],1)="D"),"Yes","No")</f>
        <v>Yes</v>
      </c>
      <c r="M95" s="43">
        <f t="shared" si="26"/>
        <v>9.443E-3</v>
      </c>
      <c r="N95" s="43">
        <f t="shared" si="27"/>
        <v>9.3135417694052668E-3</v>
      </c>
      <c r="O95" s="43" t="str">
        <f t="shared" si="28"/>
        <v>Up to $10</v>
      </c>
      <c r="P95" s="43">
        <f t="shared" si="29"/>
        <v>1.2945823059473324E-4</v>
      </c>
      <c r="Q95" s="43">
        <f t="shared" si="30"/>
        <v>-1.3899999999999999E-2</v>
      </c>
      <c r="R95" s="43" t="str">
        <f t="shared" si="31"/>
        <v>$0-$5</v>
      </c>
      <c r="S95" s="45" t="str">
        <f t="shared" si="37"/>
        <v>$0-$0.05</v>
      </c>
    </row>
    <row r="96" spans="1:19" x14ac:dyDescent="0.35">
      <c r="A96" s="43" t="s">
        <v>44</v>
      </c>
      <c r="B96" s="43" t="s">
        <v>240</v>
      </c>
      <c r="C96" s="43" t="s">
        <v>429</v>
      </c>
      <c r="D96" s="44">
        <v>7.1000000000000004E-3</v>
      </c>
      <c r="E96" s="43">
        <f>D96</f>
        <v>7.1000000000000004E-3</v>
      </c>
      <c r="F96" s="43">
        <f t="shared" si="24"/>
        <v>-7.1000000000000004E-3</v>
      </c>
      <c r="G96" s="43">
        <f t="shared" si="25"/>
        <v>7.1000000000000004E-3</v>
      </c>
      <c r="H96" s="43" t="s">
        <v>629</v>
      </c>
      <c r="I96" s="43" t="s">
        <v>789</v>
      </c>
      <c r="J96" s="43">
        <f>IFERROR(VALUE(SUBSTITUTE(SUBSTITUTE(Table1[[#This Row],[Volume (24h) USD]],"$",""),",","")),0)</f>
        <v>1068402</v>
      </c>
      <c r="K96" s="43" t="s">
        <v>983</v>
      </c>
      <c r="L96" s="43" t="str">
        <f>IF(OR(LEFT(Table1[[#This Row],[Coin Name]],1)="A",LEFT(Table1[[#This Row],[Coin Name]],1)="E",LEFT(Table1[[#This Row],[Coin Name]],1)="I",LEFT(Table1[[#This Row],[Coin Name]],1)="O",LEFT(Table1[[#This Row],[Coin Name]],1)="U",LEFT(Table1[[#This Row],[Coin Name]],1)="B",LEFT(Table1[[#This Row],[Coin Name]],1)="C",LEFT(Table1[[#This Row],[Coin Name]],1)="D"),"Yes","No")</f>
        <v>Yes</v>
      </c>
      <c r="M96" s="43">
        <f t="shared" si="26"/>
        <v>0.1111</v>
      </c>
      <c r="N96" s="43">
        <f t="shared" si="27"/>
        <v>0.1103167510674213</v>
      </c>
      <c r="O96" s="43" t="str">
        <f t="shared" si="28"/>
        <v>Up to $10</v>
      </c>
      <c r="P96" s="43">
        <f t="shared" si="29"/>
        <v>7.8324893257870898E-4</v>
      </c>
      <c r="Q96" s="43">
        <f t="shared" si="30"/>
        <v>-7.1000000000000004E-3</v>
      </c>
      <c r="R96" s="43" t="str">
        <f t="shared" si="31"/>
        <v>$0-$5</v>
      </c>
      <c r="S96" s="45" t="str">
        <f t="shared" si="37"/>
        <v>$0.05-$0.5</v>
      </c>
    </row>
    <row r="97" spans="1:19" x14ac:dyDescent="0.35">
      <c r="A97" s="43" t="s">
        <v>102</v>
      </c>
      <c r="B97" s="43" t="s">
        <v>298</v>
      </c>
      <c r="C97" s="43" t="s">
        <v>487</v>
      </c>
      <c r="D97" s="44">
        <v>1.8E-3</v>
      </c>
      <c r="E97" s="43">
        <f>D97</f>
        <v>1.8E-3</v>
      </c>
      <c r="F97" s="43">
        <f t="shared" si="24"/>
        <v>-1.8E-3</v>
      </c>
      <c r="G97" s="43">
        <f t="shared" si="25"/>
        <v>1.8E-3</v>
      </c>
      <c r="H97" s="43" t="s">
        <v>687</v>
      </c>
      <c r="I97" s="43" t="s">
        <v>847</v>
      </c>
      <c r="J97" s="43">
        <f>IFERROR(VALUE(SUBSTITUTE(SUBSTITUTE(Table1[[#This Row],[Volume (24h) USD]],"$",""),",","")),0)</f>
        <v>3216530</v>
      </c>
      <c r="K97" s="43" t="s">
        <v>1040</v>
      </c>
      <c r="L97" s="43" t="str">
        <f>IF(OR(LEFT(Table1[[#This Row],[Coin Name]],1)="A",LEFT(Table1[[#This Row],[Coin Name]],1)="E",LEFT(Table1[[#This Row],[Coin Name]],1)="I",LEFT(Table1[[#This Row],[Coin Name]],1)="O",LEFT(Table1[[#This Row],[Coin Name]],1)="U",LEFT(Table1[[#This Row],[Coin Name]],1)="B",LEFT(Table1[[#This Row],[Coin Name]],1)="C",LEFT(Table1[[#This Row],[Coin Name]],1)="D"),"Yes","No")</f>
        <v>No</v>
      </c>
      <c r="M97" s="43">
        <f t="shared" si="26"/>
        <v>1.6</v>
      </c>
      <c r="N97" s="43">
        <f t="shared" si="27"/>
        <v>1.5971251746855661</v>
      </c>
      <c r="O97" s="43" t="str">
        <f t="shared" si="28"/>
        <v>Up to $10</v>
      </c>
      <c r="P97" s="43">
        <f t="shared" si="29"/>
        <v>2.8748253144339486E-3</v>
      </c>
      <c r="Q97" s="43">
        <f t="shared" si="30"/>
        <v>-1.8E-3</v>
      </c>
      <c r="R97" s="43" t="str">
        <f t="shared" si="31"/>
        <v>$0-$5</v>
      </c>
      <c r="S97" s="45" t="str">
        <f t="shared" si="32"/>
        <v>&gt;$50</v>
      </c>
    </row>
    <row r="98" spans="1:19" x14ac:dyDescent="0.35">
      <c r="A98" s="43" t="s">
        <v>91</v>
      </c>
      <c r="B98" s="43" t="s">
        <v>287</v>
      </c>
      <c r="C98" s="43" t="s">
        <v>476</v>
      </c>
      <c r="D98" s="44">
        <v>1E-4</v>
      </c>
      <c r="E98" s="43">
        <f>D98</f>
        <v>1E-4</v>
      </c>
      <c r="F98" s="43">
        <f t="shared" ref="F98:F129" si="38">-D98</f>
        <v>-1E-4</v>
      </c>
      <c r="G98" s="43">
        <f t="shared" ref="G98:G129" si="39">D98</f>
        <v>1E-4</v>
      </c>
      <c r="H98" s="43" t="s">
        <v>676</v>
      </c>
      <c r="I98" s="43" t="s">
        <v>836</v>
      </c>
      <c r="J98" s="43">
        <f>IFERROR(VALUE(SUBSTITUTE(SUBSTITUTE(Table1[[#This Row],[Volume (24h) USD]],"$",""),",","")),0)</f>
        <v>999710</v>
      </c>
      <c r="K98" s="43" t="s">
        <v>1030</v>
      </c>
      <c r="L98" s="43" t="str">
        <f>IF(OR(LEFT(Table1[[#This Row],[Coin Name]],1)="A",LEFT(Table1[[#This Row],[Coin Name]],1)="E",LEFT(Table1[[#This Row],[Coin Name]],1)="I",LEFT(Table1[[#This Row],[Coin Name]],1)="O",LEFT(Table1[[#This Row],[Coin Name]],1)="U",LEFT(Table1[[#This Row],[Coin Name]],1)="B",LEFT(Table1[[#This Row],[Coin Name]],1)="C",LEFT(Table1[[#This Row],[Coin Name]],1)="D"),"Yes","No")</f>
        <v>Yes</v>
      </c>
      <c r="M98" s="43">
        <f t="shared" ref="M98:M129" si="40">VALUE(SUBSTITUTE(C98,"$",""))</f>
        <v>3.288E-2</v>
      </c>
      <c r="N98" s="43">
        <f t="shared" ref="N98:N129" si="41">M98/(1+D98)</f>
        <v>3.287671232876712E-2</v>
      </c>
      <c r="O98" s="43" t="str">
        <f t="shared" ref="O98:O129" si="42">IF(M98&lt;10,"Up to $10","&gt;= $10")</f>
        <v>Up to $10</v>
      </c>
      <c r="P98" s="43">
        <f t="shared" ref="P98:P129" si="43">M98-N98</f>
        <v>3.28767123287943E-6</v>
      </c>
      <c r="Q98" s="43">
        <f t="shared" ref="Q98:Q129" si="44">F98</f>
        <v>-1E-4</v>
      </c>
      <c r="R98" s="43" t="str">
        <f t="shared" ref="R98:R129" si="45">IF(M98&lt;=5,"$0-$5","&gt;$5")</f>
        <v>$0-$5</v>
      </c>
      <c r="S98" s="45" t="str">
        <f t="shared" ref="S98:S100" si="46">IF(M98&lt;=0.05,"$0-$0.05",IF(M98&lt;=0.5,"$0.05-$0.5",IF(M98&lt;=5,"$0.5-$5",IF(M98&lt;=50,"$5-$50","&gt;$50"))))</f>
        <v>$0-$0.05</v>
      </c>
    </row>
    <row r="99" spans="1:19" x14ac:dyDescent="0.35">
      <c r="A99" s="43" t="s">
        <v>138</v>
      </c>
      <c r="B99" s="43" t="s">
        <v>332</v>
      </c>
      <c r="C99" s="43" t="s">
        <v>523</v>
      </c>
      <c r="D99" s="44">
        <v>2.2000000000000001E-3</v>
      </c>
      <c r="E99" s="43">
        <f>D99</f>
        <v>2.2000000000000001E-3</v>
      </c>
      <c r="F99" s="43">
        <f t="shared" si="38"/>
        <v>-2.2000000000000001E-3</v>
      </c>
      <c r="G99" s="43">
        <f t="shared" si="39"/>
        <v>2.2000000000000001E-3</v>
      </c>
      <c r="H99" s="43" t="s">
        <v>713</v>
      </c>
      <c r="I99" s="43" t="s">
        <v>881</v>
      </c>
      <c r="J99" s="43">
        <f>IFERROR(VALUE(SUBSTITUTE(SUBSTITUTE(Table1[[#This Row],[Volume (24h) USD]],"$",""),",","")),0)</f>
        <v>955799</v>
      </c>
      <c r="K99" s="43" t="s">
        <v>1076</v>
      </c>
      <c r="L99" s="43" t="str">
        <f>IF(OR(LEFT(Table1[[#This Row],[Coin Name]],1)="A",LEFT(Table1[[#This Row],[Coin Name]],1)="E",LEFT(Table1[[#This Row],[Coin Name]],1)="I",LEFT(Table1[[#This Row],[Coin Name]],1)="O",LEFT(Table1[[#This Row],[Coin Name]],1)="U",LEFT(Table1[[#This Row],[Coin Name]],1)="B",LEFT(Table1[[#This Row],[Coin Name]],1)="C",LEFT(Table1[[#This Row],[Coin Name]],1)="D"),"Yes","No")</f>
        <v>Yes</v>
      </c>
      <c r="M99" s="43">
        <f t="shared" si="40"/>
        <v>9.0029999999999999E-2</v>
      </c>
      <c r="N99" s="43">
        <f t="shared" si="41"/>
        <v>8.9832368788664935E-2</v>
      </c>
      <c r="O99" s="43" t="str">
        <f t="shared" si="42"/>
        <v>Up to $10</v>
      </c>
      <c r="P99" s="43">
        <f t="shared" si="43"/>
        <v>1.9763121133506423E-4</v>
      </c>
      <c r="Q99" s="43">
        <f t="shared" si="44"/>
        <v>-2.2000000000000001E-3</v>
      </c>
      <c r="R99" s="43" t="str">
        <f t="shared" si="45"/>
        <v>$0-$5</v>
      </c>
      <c r="S99" s="45" t="str">
        <f t="shared" si="46"/>
        <v>$0.05-$0.5</v>
      </c>
    </row>
    <row r="100" spans="1:19" x14ac:dyDescent="0.35">
      <c r="A100" s="43" t="s">
        <v>72</v>
      </c>
      <c r="B100" s="43" t="s">
        <v>268</v>
      </c>
      <c r="C100" s="43" t="s">
        <v>457</v>
      </c>
      <c r="D100" s="44">
        <v>5.0000000000000001E-4</v>
      </c>
      <c r="E100" s="43">
        <f>D100</f>
        <v>5.0000000000000001E-4</v>
      </c>
      <c r="F100" s="43">
        <f t="shared" si="38"/>
        <v>-5.0000000000000001E-4</v>
      </c>
      <c r="G100" s="43">
        <f t="shared" si="39"/>
        <v>5.0000000000000001E-4</v>
      </c>
      <c r="H100" s="43" t="s">
        <v>657</v>
      </c>
      <c r="I100" s="43" t="s">
        <v>817</v>
      </c>
      <c r="J100" s="43">
        <f>IFERROR(VALUE(SUBSTITUTE(SUBSTITUTE(Table1[[#This Row],[Volume (24h) USD]],"$",""),",","")),0)</f>
        <v>867656</v>
      </c>
      <c r="K100" s="43" t="s">
        <v>1011</v>
      </c>
      <c r="L100" s="43" t="str">
        <f>IF(OR(LEFT(Table1[[#This Row],[Coin Name]],1)="A",LEFT(Table1[[#This Row],[Coin Name]],1)="E",LEFT(Table1[[#This Row],[Coin Name]],1)="I",LEFT(Table1[[#This Row],[Coin Name]],1)="O",LEFT(Table1[[#This Row],[Coin Name]],1)="U",LEFT(Table1[[#This Row],[Coin Name]],1)="B",LEFT(Table1[[#This Row],[Coin Name]],1)="C",LEFT(Table1[[#This Row],[Coin Name]],1)="D"),"Yes","No")</f>
        <v>Yes</v>
      </c>
      <c r="M100" s="43">
        <f t="shared" si="40"/>
        <v>2.13</v>
      </c>
      <c r="N100" s="43">
        <f t="shared" si="41"/>
        <v>2.128935532233883</v>
      </c>
      <c r="O100" s="43" t="str">
        <f t="shared" si="42"/>
        <v>Up to $10</v>
      </c>
      <c r="P100" s="43">
        <f t="shared" si="43"/>
        <v>1.0644677661169055E-3</v>
      </c>
      <c r="Q100" s="43">
        <f t="shared" si="44"/>
        <v>-5.0000000000000001E-4</v>
      </c>
      <c r="R100" s="43" t="str">
        <f t="shared" si="45"/>
        <v>$0-$5</v>
      </c>
      <c r="S100" s="45" t="str">
        <f t="shared" si="46"/>
        <v>$0.5-$5</v>
      </c>
    </row>
    <row r="101" spans="1:19" x14ac:dyDescent="0.35">
      <c r="A101" s="43" t="s">
        <v>106</v>
      </c>
      <c r="B101" s="43" t="s">
        <v>302</v>
      </c>
      <c r="C101" s="43" t="s">
        <v>491</v>
      </c>
      <c r="D101" s="44">
        <v>2.5100000000000001E-2</v>
      </c>
      <c r="E101" s="43">
        <f>D101</f>
        <v>2.5100000000000001E-2</v>
      </c>
      <c r="F101" s="43">
        <f t="shared" si="38"/>
        <v>-2.5100000000000001E-2</v>
      </c>
      <c r="G101" s="43">
        <f t="shared" si="39"/>
        <v>2.5100000000000001E-2</v>
      </c>
      <c r="H101" s="43" t="s">
        <v>690</v>
      </c>
      <c r="I101" s="43" t="s">
        <v>851</v>
      </c>
      <c r="J101" s="43">
        <f>IFERROR(VALUE(SUBSTITUTE(SUBSTITUTE(Table1[[#This Row],[Volume (24h) USD]],"$",""),",","")),0)</f>
        <v>128760</v>
      </c>
      <c r="K101" s="43" t="s">
        <v>1044</v>
      </c>
      <c r="L101" s="43" t="str">
        <f>IF(OR(LEFT(Table1[[#This Row],[Coin Name]],1)="A",LEFT(Table1[[#This Row],[Coin Name]],1)="E",LEFT(Table1[[#This Row],[Coin Name]],1)="I",LEFT(Table1[[#This Row],[Coin Name]],1)="O",LEFT(Table1[[#This Row],[Coin Name]],1)="U",LEFT(Table1[[#This Row],[Coin Name]],1)="B",LEFT(Table1[[#This Row],[Coin Name]],1)="C",LEFT(Table1[[#This Row],[Coin Name]],1)="D"),"Yes","No")</f>
        <v>No</v>
      </c>
      <c r="M101" s="43">
        <f t="shared" si="40"/>
        <v>6.8440000000000001E-2</v>
      </c>
      <c r="N101" s="43">
        <f t="shared" si="41"/>
        <v>6.6764218125060976E-2</v>
      </c>
      <c r="O101" s="43" t="str">
        <f t="shared" si="42"/>
        <v>Up to $10</v>
      </c>
      <c r="P101" s="43">
        <f t="shared" si="43"/>
        <v>1.6757818749390252E-3</v>
      </c>
      <c r="Q101" s="43">
        <f t="shared" si="44"/>
        <v>-2.5100000000000001E-2</v>
      </c>
      <c r="R101" s="43" t="str">
        <f t="shared" si="45"/>
        <v>$0-$5</v>
      </c>
      <c r="S101" s="45" t="str">
        <f t="shared" ref="S98:S129" si="47">IF(C101&lt;=0.05,"$0-$0.05",
IF(C101&lt;=0.5,"$0.05-$0.5",
IF(C101&lt;=5,"$0.5-$5",
IF(C101&lt;=50,"$5-$50","&gt;$50"))))</f>
        <v>&gt;$50</v>
      </c>
    </row>
    <row r="102" spans="1:19" x14ac:dyDescent="0.35">
      <c r="A102" s="43" t="s">
        <v>184</v>
      </c>
      <c r="B102" s="43" t="s">
        <v>372</v>
      </c>
      <c r="C102" s="43" t="s">
        <v>569</v>
      </c>
      <c r="D102" s="44">
        <v>1.2E-2</v>
      </c>
      <c r="E102" s="43">
        <f>D102</f>
        <v>1.2E-2</v>
      </c>
      <c r="F102" s="43">
        <f t="shared" si="38"/>
        <v>-1.2E-2</v>
      </c>
      <c r="G102" s="43">
        <f t="shared" si="39"/>
        <v>1.2E-2</v>
      </c>
      <c r="H102" s="43" t="s">
        <v>742</v>
      </c>
      <c r="I102" s="43" t="s">
        <v>925</v>
      </c>
      <c r="J102" s="43">
        <f>IFERROR(VALUE(SUBSTITUTE(SUBSTITUTE(Table1[[#This Row],[Volume (24h) USD]],"$",""),",","")),0)</f>
        <v>858809</v>
      </c>
      <c r="K102" s="43" t="s">
        <v>1119</v>
      </c>
      <c r="L102" s="43" t="str">
        <f>IF(OR(LEFT(Table1[[#This Row],[Coin Name]],1)="A",LEFT(Table1[[#This Row],[Coin Name]],1)="E",LEFT(Table1[[#This Row],[Coin Name]],1)="I",LEFT(Table1[[#This Row],[Coin Name]],1)="O",LEFT(Table1[[#This Row],[Coin Name]],1)="U",LEFT(Table1[[#This Row],[Coin Name]],1)="B",LEFT(Table1[[#This Row],[Coin Name]],1)="C",LEFT(Table1[[#This Row],[Coin Name]],1)="D"),"Yes","No")</f>
        <v>Yes</v>
      </c>
      <c r="M102" s="43">
        <f t="shared" si="40"/>
        <v>0.1976</v>
      </c>
      <c r="N102" s="43">
        <f t="shared" si="41"/>
        <v>0.19525691699604741</v>
      </c>
      <c r="O102" s="43" t="str">
        <f t="shared" si="42"/>
        <v>Up to $10</v>
      </c>
      <c r="P102" s="43">
        <f t="shared" si="43"/>
        <v>2.3430830039525841E-3</v>
      </c>
      <c r="Q102" s="43">
        <f t="shared" si="44"/>
        <v>-1.2E-2</v>
      </c>
      <c r="R102" s="43" t="str">
        <f t="shared" si="45"/>
        <v>$0-$5</v>
      </c>
      <c r="S102" s="45" t="str">
        <f t="shared" ref="S102:S103" si="48">IF(M102&lt;=0.05,"$0-$0.05",IF(M102&lt;=0.5,"$0.05-$0.5",IF(M102&lt;=5,"$0.5-$5",IF(M102&lt;=50,"$5-$50","&gt;$50"))))</f>
        <v>$0.05-$0.5</v>
      </c>
    </row>
    <row r="103" spans="1:19" x14ac:dyDescent="0.35">
      <c r="A103" s="43" t="s">
        <v>59</v>
      </c>
      <c r="B103" s="43" t="s">
        <v>255</v>
      </c>
      <c r="C103" s="43" t="s">
        <v>444</v>
      </c>
      <c r="D103" s="44">
        <v>1.8E-3</v>
      </c>
      <c r="E103" s="43">
        <f>D103</f>
        <v>1.8E-3</v>
      </c>
      <c r="F103" s="43">
        <f t="shared" si="38"/>
        <v>-1.8E-3</v>
      </c>
      <c r="G103" s="43">
        <f t="shared" si="39"/>
        <v>1.8E-3</v>
      </c>
      <c r="H103" s="43" t="s">
        <v>644</v>
      </c>
      <c r="I103" s="43" t="s">
        <v>804</v>
      </c>
      <c r="J103" s="43">
        <f>IFERROR(VALUE(SUBSTITUTE(SUBSTITUTE(Table1[[#This Row],[Volume (24h) USD]],"$",""),",","")),0)</f>
        <v>817224</v>
      </c>
      <c r="K103" s="43" t="s">
        <v>998</v>
      </c>
      <c r="L103" s="43" t="str">
        <f>IF(OR(LEFT(Table1[[#This Row],[Coin Name]],1)="A",LEFT(Table1[[#This Row],[Coin Name]],1)="E",LEFT(Table1[[#This Row],[Coin Name]],1)="I",LEFT(Table1[[#This Row],[Coin Name]],1)="O",LEFT(Table1[[#This Row],[Coin Name]],1)="U",LEFT(Table1[[#This Row],[Coin Name]],1)="B",LEFT(Table1[[#This Row],[Coin Name]],1)="C",LEFT(Table1[[#This Row],[Coin Name]],1)="D"),"Yes","No")</f>
        <v>Yes</v>
      </c>
      <c r="M103" s="43">
        <f t="shared" si="40"/>
        <v>1.1769999999999999E-2</v>
      </c>
      <c r="N103" s="43">
        <f t="shared" si="41"/>
        <v>1.1748852066280693E-2</v>
      </c>
      <c r="O103" s="43" t="str">
        <f t="shared" si="42"/>
        <v>Up to $10</v>
      </c>
      <c r="P103" s="43">
        <f t="shared" si="43"/>
        <v>2.1147933719305873E-5</v>
      </c>
      <c r="Q103" s="43">
        <f t="shared" si="44"/>
        <v>-1.8E-3</v>
      </c>
      <c r="R103" s="43" t="str">
        <f t="shared" si="45"/>
        <v>$0-$5</v>
      </c>
      <c r="S103" s="45" t="str">
        <f t="shared" si="48"/>
        <v>$0-$0.05</v>
      </c>
    </row>
    <row r="104" spans="1:19" x14ac:dyDescent="0.35">
      <c r="A104" s="43" t="s">
        <v>109</v>
      </c>
      <c r="B104" s="43" t="s">
        <v>305</v>
      </c>
      <c r="C104" s="43" t="s">
        <v>494</v>
      </c>
      <c r="D104" s="44">
        <v>4.0500000000000001E-2</v>
      </c>
      <c r="E104" s="43">
        <f>D104</f>
        <v>4.0500000000000001E-2</v>
      </c>
      <c r="F104" s="43">
        <f t="shared" si="38"/>
        <v>-4.0500000000000001E-2</v>
      </c>
      <c r="G104" s="43">
        <f t="shared" si="39"/>
        <v>4.0500000000000001E-2</v>
      </c>
      <c r="H104" s="43" t="s">
        <v>692</v>
      </c>
      <c r="I104" s="43" t="s">
        <v>854</v>
      </c>
      <c r="J104" s="43">
        <f>IFERROR(VALUE(SUBSTITUTE(SUBSTITUTE(Table1[[#This Row],[Volume (24h) USD]],"$",""),",","")),0)</f>
        <v>4772</v>
      </c>
      <c r="K104" s="43" t="s">
        <v>1047</v>
      </c>
      <c r="L104" s="43" t="str">
        <f>IF(OR(LEFT(Table1[[#This Row],[Coin Name]],1)="A",LEFT(Table1[[#This Row],[Coin Name]],1)="E",LEFT(Table1[[#This Row],[Coin Name]],1)="I",LEFT(Table1[[#This Row],[Coin Name]],1)="O",LEFT(Table1[[#This Row],[Coin Name]],1)="U",LEFT(Table1[[#This Row],[Coin Name]],1)="B",LEFT(Table1[[#This Row],[Coin Name]],1)="C",LEFT(Table1[[#This Row],[Coin Name]],1)="D"),"Yes","No")</f>
        <v>No</v>
      </c>
      <c r="M104" s="43">
        <f t="shared" si="40"/>
        <v>4.9510000000000005E-4</v>
      </c>
      <c r="N104" s="43">
        <f t="shared" si="41"/>
        <v>4.7582892839980785E-4</v>
      </c>
      <c r="O104" s="43" t="str">
        <f t="shared" si="42"/>
        <v>Up to $10</v>
      </c>
      <c r="P104" s="43">
        <f t="shared" si="43"/>
        <v>1.9271071600192205E-5</v>
      </c>
      <c r="Q104" s="43">
        <f t="shared" si="44"/>
        <v>-4.0500000000000001E-2</v>
      </c>
      <c r="R104" s="43" t="str">
        <f t="shared" si="45"/>
        <v>$0-$5</v>
      </c>
      <c r="S104" s="45" t="str">
        <f t="shared" si="47"/>
        <v>&gt;$50</v>
      </c>
    </row>
    <row r="105" spans="1:19" x14ac:dyDescent="0.35">
      <c r="A105" s="43" t="s">
        <v>143</v>
      </c>
      <c r="B105" s="43" t="s">
        <v>337</v>
      </c>
      <c r="C105" s="43" t="s">
        <v>528</v>
      </c>
      <c r="D105" s="44">
        <v>5.9999999999999995E-4</v>
      </c>
      <c r="E105" s="43">
        <f>D105</f>
        <v>5.9999999999999995E-4</v>
      </c>
      <c r="F105" s="43">
        <f t="shared" si="38"/>
        <v>-5.9999999999999995E-4</v>
      </c>
      <c r="G105" s="43">
        <f t="shared" si="39"/>
        <v>5.9999999999999995E-4</v>
      </c>
      <c r="H105" s="43" t="s">
        <v>717</v>
      </c>
      <c r="I105" s="43" t="s">
        <v>886</v>
      </c>
      <c r="J105" s="43">
        <f>IFERROR(VALUE(SUBSTITUTE(SUBSTITUTE(Table1[[#This Row],[Volume (24h) USD]],"$",""),",","")),0)</f>
        <v>697351</v>
      </c>
      <c r="K105" s="43" t="s">
        <v>1081</v>
      </c>
      <c r="L105" s="43" t="str">
        <f>IF(OR(LEFT(Table1[[#This Row],[Coin Name]],1)="A",LEFT(Table1[[#This Row],[Coin Name]],1)="E",LEFT(Table1[[#This Row],[Coin Name]],1)="I",LEFT(Table1[[#This Row],[Coin Name]],1)="O",LEFT(Table1[[#This Row],[Coin Name]],1)="U",LEFT(Table1[[#This Row],[Coin Name]],1)="B",LEFT(Table1[[#This Row],[Coin Name]],1)="C",LEFT(Table1[[#This Row],[Coin Name]],1)="D"),"Yes","No")</f>
        <v>Yes</v>
      </c>
      <c r="M105" s="43">
        <f t="shared" si="40"/>
        <v>0.53059999999999996</v>
      </c>
      <c r="N105" s="43">
        <f t="shared" si="41"/>
        <v>0.53028183090145908</v>
      </c>
      <c r="O105" s="43" t="str">
        <f t="shared" si="42"/>
        <v>Up to $10</v>
      </c>
      <c r="P105" s="43">
        <f t="shared" si="43"/>
        <v>3.1816909854087694E-4</v>
      </c>
      <c r="Q105" s="43">
        <f t="shared" si="44"/>
        <v>-5.9999999999999995E-4</v>
      </c>
      <c r="R105" s="43" t="str">
        <f t="shared" si="45"/>
        <v>$0-$5</v>
      </c>
      <c r="S105" s="45" t="str">
        <f>IF(M105&lt;=0.05,"$0-$0.05",IF(M105&lt;=0.5,"$0.05-$0.5",IF(M105&lt;=5,"$0.5-$5",IF(M105&lt;=50,"$5-$50","&gt;$50"))))</f>
        <v>$0.5-$5</v>
      </c>
    </row>
    <row r="106" spans="1:19" x14ac:dyDescent="0.35">
      <c r="A106" s="43" t="s">
        <v>111</v>
      </c>
      <c r="B106" s="43" t="s">
        <v>307</v>
      </c>
      <c r="C106" s="43" t="s">
        <v>496</v>
      </c>
      <c r="D106" s="44">
        <v>2.9999999999999997E-4</v>
      </c>
      <c r="E106" s="43">
        <f>D106</f>
        <v>2.9999999999999997E-4</v>
      </c>
      <c r="F106" s="43">
        <f t="shared" si="38"/>
        <v>-2.9999999999999997E-4</v>
      </c>
      <c r="G106" s="43">
        <f t="shared" si="39"/>
        <v>2.9999999999999997E-4</v>
      </c>
      <c r="H106" s="43" t="s">
        <v>691</v>
      </c>
      <c r="I106" s="43" t="s">
        <v>856</v>
      </c>
      <c r="J106" s="43">
        <f>IFERROR(VALUE(SUBSTITUTE(SUBSTITUTE(Table1[[#This Row],[Volume (24h) USD]],"$",""),",","")),0)</f>
        <v>2332177</v>
      </c>
      <c r="K106" s="43" t="s">
        <v>1049</v>
      </c>
      <c r="L106" s="43" t="str">
        <f>IF(OR(LEFT(Table1[[#This Row],[Coin Name]],1)="A",LEFT(Table1[[#This Row],[Coin Name]],1)="E",LEFT(Table1[[#This Row],[Coin Name]],1)="I",LEFT(Table1[[#This Row],[Coin Name]],1)="O",LEFT(Table1[[#This Row],[Coin Name]],1)="U",LEFT(Table1[[#This Row],[Coin Name]],1)="B",LEFT(Table1[[#This Row],[Coin Name]],1)="C",LEFT(Table1[[#This Row],[Coin Name]],1)="D"),"Yes","No")</f>
        <v>No</v>
      </c>
      <c r="M106" s="43">
        <f t="shared" si="40"/>
        <v>5.5989999999999998E-2</v>
      </c>
      <c r="N106" s="43">
        <f t="shared" si="41"/>
        <v>5.597320803758872E-2</v>
      </c>
      <c r="O106" s="43" t="str">
        <f t="shared" si="42"/>
        <v>Up to $10</v>
      </c>
      <c r="P106" s="43">
        <f t="shared" si="43"/>
        <v>1.6791962411277783E-5</v>
      </c>
      <c r="Q106" s="43">
        <f t="shared" si="44"/>
        <v>-2.9999999999999997E-4</v>
      </c>
      <c r="R106" s="43" t="str">
        <f t="shared" si="45"/>
        <v>$0-$5</v>
      </c>
      <c r="S106" s="45" t="str">
        <f t="shared" si="47"/>
        <v>&gt;$50</v>
      </c>
    </row>
    <row r="107" spans="1:19" x14ac:dyDescent="0.35">
      <c r="A107" s="43" t="s">
        <v>112</v>
      </c>
      <c r="B107" s="43" t="s">
        <v>308</v>
      </c>
      <c r="C107" s="43" t="s">
        <v>497</v>
      </c>
      <c r="D107" s="44">
        <v>5.0000000000000001E-4</v>
      </c>
      <c r="E107" s="43">
        <f>D107</f>
        <v>5.0000000000000001E-4</v>
      </c>
      <c r="F107" s="43">
        <f t="shared" si="38"/>
        <v>-5.0000000000000001E-4</v>
      </c>
      <c r="G107" s="43">
        <f t="shared" si="39"/>
        <v>5.0000000000000001E-4</v>
      </c>
      <c r="H107" s="43" t="s">
        <v>693</v>
      </c>
      <c r="I107" s="43" t="s">
        <v>857</v>
      </c>
      <c r="J107" s="43">
        <f>IFERROR(VALUE(SUBSTITUTE(SUBSTITUTE(Table1[[#This Row],[Volume (24h) USD]],"$",""),",","")),0)</f>
        <v>2707699</v>
      </c>
      <c r="K107" s="43" t="s">
        <v>1050</v>
      </c>
      <c r="L107" s="43" t="str">
        <f>IF(OR(LEFT(Table1[[#This Row],[Coin Name]],1)="A",LEFT(Table1[[#This Row],[Coin Name]],1)="E",LEFT(Table1[[#This Row],[Coin Name]],1)="I",LEFT(Table1[[#This Row],[Coin Name]],1)="O",LEFT(Table1[[#This Row],[Coin Name]],1)="U",LEFT(Table1[[#This Row],[Coin Name]],1)="B",LEFT(Table1[[#This Row],[Coin Name]],1)="C",LEFT(Table1[[#This Row],[Coin Name]],1)="D"),"Yes","No")</f>
        <v>No</v>
      </c>
      <c r="M107" s="43">
        <f t="shared" si="40"/>
        <v>1.193E-2</v>
      </c>
      <c r="N107" s="43">
        <f t="shared" si="41"/>
        <v>1.1924037981009496E-2</v>
      </c>
      <c r="O107" s="43" t="str">
        <f t="shared" si="42"/>
        <v>Up to $10</v>
      </c>
      <c r="P107" s="43">
        <f t="shared" si="43"/>
        <v>5.9620189905035953E-6</v>
      </c>
      <c r="Q107" s="43">
        <f t="shared" si="44"/>
        <v>-5.0000000000000001E-4</v>
      </c>
      <c r="R107" s="43" t="str">
        <f t="shared" si="45"/>
        <v>$0-$5</v>
      </c>
      <c r="S107" s="45" t="str">
        <f t="shared" si="47"/>
        <v>&gt;$50</v>
      </c>
    </row>
    <row r="108" spans="1:19" x14ac:dyDescent="0.35">
      <c r="A108" s="43" t="s">
        <v>113</v>
      </c>
      <c r="B108" s="43" t="s">
        <v>309</v>
      </c>
      <c r="C108" s="43" t="s">
        <v>498</v>
      </c>
      <c r="D108" s="44">
        <v>2.2000000000000001E-3</v>
      </c>
      <c r="E108" s="43">
        <f>D108</f>
        <v>2.2000000000000001E-3</v>
      </c>
      <c r="F108" s="43">
        <f t="shared" si="38"/>
        <v>-2.2000000000000001E-3</v>
      </c>
      <c r="G108" s="43">
        <f t="shared" si="39"/>
        <v>2.2000000000000001E-3</v>
      </c>
      <c r="H108" s="43" t="s">
        <v>694</v>
      </c>
      <c r="I108" s="43" t="s">
        <v>858</v>
      </c>
      <c r="J108" s="43">
        <f>IFERROR(VALUE(SUBSTITUTE(SUBSTITUTE(Table1[[#This Row],[Volume (24h) USD]],"$",""),",","")),0)</f>
        <v>708276</v>
      </c>
      <c r="K108" s="43" t="s">
        <v>1051</v>
      </c>
      <c r="L108" s="43" t="str">
        <f>IF(OR(LEFT(Table1[[#This Row],[Coin Name]],1)="A",LEFT(Table1[[#This Row],[Coin Name]],1)="E",LEFT(Table1[[#This Row],[Coin Name]],1)="I",LEFT(Table1[[#This Row],[Coin Name]],1)="O",LEFT(Table1[[#This Row],[Coin Name]],1)="U",LEFT(Table1[[#This Row],[Coin Name]],1)="B",LEFT(Table1[[#This Row],[Coin Name]],1)="C",LEFT(Table1[[#This Row],[Coin Name]],1)="D"),"Yes","No")</f>
        <v>No</v>
      </c>
      <c r="M108" s="43">
        <f t="shared" si="40"/>
        <v>0.42120000000000002</v>
      </c>
      <c r="N108" s="43">
        <f t="shared" si="41"/>
        <v>0.42027539413290765</v>
      </c>
      <c r="O108" s="43" t="str">
        <f t="shared" si="42"/>
        <v>Up to $10</v>
      </c>
      <c r="P108" s="43">
        <f t="shared" si="43"/>
        <v>9.2460586709236514E-4</v>
      </c>
      <c r="Q108" s="43">
        <f t="shared" si="44"/>
        <v>-2.2000000000000001E-3</v>
      </c>
      <c r="R108" s="43" t="str">
        <f t="shared" si="45"/>
        <v>$0-$5</v>
      </c>
      <c r="S108" s="45" t="str">
        <f t="shared" si="47"/>
        <v>&gt;$50</v>
      </c>
    </row>
    <row r="109" spans="1:19" x14ac:dyDescent="0.35">
      <c r="A109" s="43" t="s">
        <v>110</v>
      </c>
      <c r="B109" s="43" t="s">
        <v>306</v>
      </c>
      <c r="C109" s="43" t="s">
        <v>495</v>
      </c>
      <c r="D109" s="44">
        <v>5.1000000000000004E-3</v>
      </c>
      <c r="E109" s="43">
        <f>D109</f>
        <v>5.1000000000000004E-3</v>
      </c>
      <c r="F109" s="43">
        <f t="shared" si="38"/>
        <v>-5.1000000000000004E-3</v>
      </c>
      <c r="G109" s="43">
        <f t="shared" si="39"/>
        <v>5.1000000000000004E-3</v>
      </c>
      <c r="H109" s="43" t="s">
        <v>691</v>
      </c>
      <c r="I109" s="43" t="s">
        <v>855</v>
      </c>
      <c r="J109" s="43">
        <f>IFERROR(VALUE(SUBSTITUTE(SUBSTITUTE(Table1[[#This Row],[Volume (24h) USD]],"$",""),",","")),0)</f>
        <v>680959</v>
      </c>
      <c r="K109" s="43" t="s">
        <v>1048</v>
      </c>
      <c r="L109" s="43" t="str">
        <f>IF(OR(LEFT(Table1[[#This Row],[Coin Name]],1)="A",LEFT(Table1[[#This Row],[Coin Name]],1)="E",LEFT(Table1[[#This Row],[Coin Name]],1)="I",LEFT(Table1[[#This Row],[Coin Name]],1)="O",LEFT(Table1[[#This Row],[Coin Name]],1)="U",LEFT(Table1[[#This Row],[Coin Name]],1)="B",LEFT(Table1[[#This Row],[Coin Name]],1)="C",LEFT(Table1[[#This Row],[Coin Name]],1)="D"),"Yes","No")</f>
        <v>Yes</v>
      </c>
      <c r="M109" s="43">
        <f t="shared" si="40"/>
        <v>7.8300000000000002E-3</v>
      </c>
      <c r="N109" s="43">
        <f t="shared" si="41"/>
        <v>7.7902696249129433E-3</v>
      </c>
      <c r="O109" s="43" t="str">
        <f t="shared" si="42"/>
        <v>Up to $10</v>
      </c>
      <c r="P109" s="43">
        <f t="shared" si="43"/>
        <v>3.9730375087056874E-5</v>
      </c>
      <c r="Q109" s="43">
        <f t="shared" si="44"/>
        <v>-5.1000000000000004E-3</v>
      </c>
      <c r="R109" s="43" t="str">
        <f t="shared" si="45"/>
        <v>$0-$5</v>
      </c>
      <c r="S109" s="45" t="str">
        <f t="shared" ref="S109:S111" si="49">IF(M109&lt;=0.05,"$0-$0.05",IF(M109&lt;=0.5,"$0.05-$0.5",IF(M109&lt;=5,"$0.5-$5",IF(M109&lt;=50,"$5-$50","&gt;$50"))))</f>
        <v>$0-$0.05</v>
      </c>
    </row>
    <row r="110" spans="1:19" x14ac:dyDescent="0.35">
      <c r="A110" s="43" t="s">
        <v>107</v>
      </c>
      <c r="B110" s="43" t="s">
        <v>303</v>
      </c>
      <c r="C110" s="43" t="s">
        <v>492</v>
      </c>
      <c r="D110" s="44">
        <v>3.0999999999999999E-3</v>
      </c>
      <c r="E110" s="43">
        <f>D110</f>
        <v>3.0999999999999999E-3</v>
      </c>
      <c r="F110" s="43">
        <f t="shared" si="38"/>
        <v>-3.0999999999999999E-3</v>
      </c>
      <c r="G110" s="43">
        <f t="shared" si="39"/>
        <v>3.0999999999999999E-3</v>
      </c>
      <c r="H110" s="43" t="s">
        <v>691</v>
      </c>
      <c r="I110" s="43" t="s">
        <v>852</v>
      </c>
      <c r="J110" s="43">
        <f>IFERROR(VALUE(SUBSTITUTE(SUBSTITUTE(Table1[[#This Row],[Volume (24h) USD]],"$",""),",","")),0)</f>
        <v>654812</v>
      </c>
      <c r="K110" s="43" t="s">
        <v>1045</v>
      </c>
      <c r="L110" s="43" t="str">
        <f>IF(OR(LEFT(Table1[[#This Row],[Coin Name]],1)="A",LEFT(Table1[[#This Row],[Coin Name]],1)="E",LEFT(Table1[[#This Row],[Coin Name]],1)="I",LEFT(Table1[[#This Row],[Coin Name]],1)="O",LEFT(Table1[[#This Row],[Coin Name]],1)="U",LEFT(Table1[[#This Row],[Coin Name]],1)="B",LEFT(Table1[[#This Row],[Coin Name]],1)="C",LEFT(Table1[[#This Row],[Coin Name]],1)="D"),"Yes","No")</f>
        <v>Yes</v>
      </c>
      <c r="M110" s="43">
        <f t="shared" si="40"/>
        <v>0.3211</v>
      </c>
      <c r="N110" s="43">
        <f t="shared" si="41"/>
        <v>0.32010766623467246</v>
      </c>
      <c r="O110" s="43" t="str">
        <f t="shared" si="42"/>
        <v>Up to $10</v>
      </c>
      <c r="P110" s="43">
        <f t="shared" si="43"/>
        <v>9.9233376532753548E-4</v>
      </c>
      <c r="Q110" s="43">
        <f t="shared" si="44"/>
        <v>-3.0999999999999999E-3</v>
      </c>
      <c r="R110" s="43" t="str">
        <f t="shared" si="45"/>
        <v>$0-$5</v>
      </c>
      <c r="S110" s="45" t="str">
        <f t="shared" si="49"/>
        <v>$0.05-$0.5</v>
      </c>
    </row>
    <row r="111" spans="1:19" x14ac:dyDescent="0.35">
      <c r="A111" s="43" t="s">
        <v>116</v>
      </c>
      <c r="B111" s="43" t="s">
        <v>312</v>
      </c>
      <c r="C111" s="43" t="s">
        <v>501</v>
      </c>
      <c r="D111" s="44">
        <v>1.6000000000000001E-3</v>
      </c>
      <c r="E111" s="43">
        <f>D111</f>
        <v>1.6000000000000001E-3</v>
      </c>
      <c r="F111" s="43">
        <f t="shared" si="38"/>
        <v>-1.6000000000000001E-3</v>
      </c>
      <c r="G111" s="43">
        <f t="shared" si="39"/>
        <v>1.6000000000000001E-3</v>
      </c>
      <c r="H111" s="43" t="s">
        <v>697</v>
      </c>
      <c r="I111" s="43" t="s">
        <v>861</v>
      </c>
      <c r="J111" s="43">
        <f>IFERROR(VALUE(SUBSTITUTE(SUBSTITUTE(Table1[[#This Row],[Volume (24h) USD]],"$",""),",","")),0)</f>
        <v>525209</v>
      </c>
      <c r="K111" s="43" t="s">
        <v>1054</v>
      </c>
      <c r="L111" s="43" t="str">
        <f>IF(OR(LEFT(Table1[[#This Row],[Coin Name]],1)="A",LEFT(Table1[[#This Row],[Coin Name]],1)="E",LEFT(Table1[[#This Row],[Coin Name]],1)="I",LEFT(Table1[[#This Row],[Coin Name]],1)="O",LEFT(Table1[[#This Row],[Coin Name]],1)="U",LEFT(Table1[[#This Row],[Coin Name]],1)="B",LEFT(Table1[[#This Row],[Coin Name]],1)="C",LEFT(Table1[[#This Row],[Coin Name]],1)="D"),"Yes","No")</f>
        <v>Yes</v>
      </c>
      <c r="M111" s="43">
        <f t="shared" si="40"/>
        <v>146.91999999999999</v>
      </c>
      <c r="N111" s="43">
        <f t="shared" si="41"/>
        <v>146.68530351437698</v>
      </c>
      <c r="O111" s="43" t="str">
        <f t="shared" si="42"/>
        <v>&gt;= $10</v>
      </c>
      <c r="P111" s="43">
        <f t="shared" si="43"/>
        <v>0.23469648562300449</v>
      </c>
      <c r="Q111" s="43">
        <f t="shared" si="44"/>
        <v>-1.6000000000000001E-3</v>
      </c>
      <c r="R111" s="43" t="str">
        <f t="shared" si="45"/>
        <v>&gt;$5</v>
      </c>
      <c r="S111" s="45" t="str">
        <f t="shared" si="49"/>
        <v>&gt;$50</v>
      </c>
    </row>
    <row r="112" spans="1:19" x14ac:dyDescent="0.35">
      <c r="A112" s="43" t="s">
        <v>117</v>
      </c>
      <c r="B112" s="43" t="s">
        <v>313</v>
      </c>
      <c r="C112" s="43" t="s">
        <v>502</v>
      </c>
      <c r="D112" s="44">
        <v>2.5000000000000001E-3</v>
      </c>
      <c r="E112" s="43">
        <f>D112</f>
        <v>2.5000000000000001E-3</v>
      </c>
      <c r="F112" s="43">
        <f t="shared" si="38"/>
        <v>-2.5000000000000001E-3</v>
      </c>
      <c r="G112" s="43">
        <f t="shared" si="39"/>
        <v>2.5000000000000001E-3</v>
      </c>
      <c r="H112" s="43" t="s">
        <v>698</v>
      </c>
      <c r="I112" s="43" t="s">
        <v>862</v>
      </c>
      <c r="J112" s="43">
        <f>IFERROR(VALUE(SUBSTITUTE(SUBSTITUTE(Table1[[#This Row],[Volume (24h) USD]],"$",""),",","")),0)</f>
        <v>202163</v>
      </c>
      <c r="K112" s="43" t="s">
        <v>1055</v>
      </c>
      <c r="L112" s="43" t="str">
        <f>IF(OR(LEFT(Table1[[#This Row],[Coin Name]],1)="A",LEFT(Table1[[#This Row],[Coin Name]],1)="E",LEFT(Table1[[#This Row],[Coin Name]],1)="I",LEFT(Table1[[#This Row],[Coin Name]],1)="O",LEFT(Table1[[#This Row],[Coin Name]],1)="U",LEFT(Table1[[#This Row],[Coin Name]],1)="B",LEFT(Table1[[#This Row],[Coin Name]],1)="C",LEFT(Table1[[#This Row],[Coin Name]],1)="D"),"Yes","No")</f>
        <v>No</v>
      </c>
      <c r="M112" s="43">
        <f t="shared" si="40"/>
        <v>1.392E-4</v>
      </c>
      <c r="N112" s="43">
        <f t="shared" si="41"/>
        <v>1.3885286783042394E-4</v>
      </c>
      <c r="O112" s="43" t="str">
        <f t="shared" si="42"/>
        <v>Up to $10</v>
      </c>
      <c r="P112" s="43">
        <f t="shared" si="43"/>
        <v>3.4713216957605328E-7</v>
      </c>
      <c r="Q112" s="43">
        <f t="shared" si="44"/>
        <v>-2.5000000000000001E-3</v>
      </c>
      <c r="R112" s="43" t="str">
        <f t="shared" si="45"/>
        <v>$0-$5</v>
      </c>
      <c r="S112" s="45" t="str">
        <f t="shared" si="47"/>
        <v>&gt;$50</v>
      </c>
    </row>
    <row r="113" spans="1:19" x14ac:dyDescent="0.35">
      <c r="A113" s="43" t="s">
        <v>48</v>
      </c>
      <c r="B113" s="43" t="s">
        <v>244</v>
      </c>
      <c r="C113" s="43" t="s">
        <v>433</v>
      </c>
      <c r="D113" s="44">
        <v>6.8999999999999999E-3</v>
      </c>
      <c r="E113" s="43">
        <f>D113</f>
        <v>6.8999999999999999E-3</v>
      </c>
      <c r="F113" s="43">
        <f t="shared" si="38"/>
        <v>-6.8999999999999999E-3</v>
      </c>
      <c r="G113" s="43">
        <f t="shared" si="39"/>
        <v>6.8999999999999999E-3</v>
      </c>
      <c r="H113" s="43" t="s">
        <v>633</v>
      </c>
      <c r="I113" s="43" t="s">
        <v>793</v>
      </c>
      <c r="J113" s="43">
        <f>IFERROR(VALUE(SUBSTITUTE(SUBSTITUTE(Table1[[#This Row],[Volume (24h) USD]],"$",""),",","")),0)</f>
        <v>522812</v>
      </c>
      <c r="K113" s="43" t="s">
        <v>987</v>
      </c>
      <c r="L113" s="43" t="str">
        <f>IF(OR(LEFT(Table1[[#This Row],[Coin Name]],1)="A",LEFT(Table1[[#This Row],[Coin Name]],1)="E",LEFT(Table1[[#This Row],[Coin Name]],1)="I",LEFT(Table1[[#This Row],[Coin Name]],1)="O",LEFT(Table1[[#This Row],[Coin Name]],1)="U",LEFT(Table1[[#This Row],[Coin Name]],1)="B",LEFT(Table1[[#This Row],[Coin Name]],1)="C",LEFT(Table1[[#This Row],[Coin Name]],1)="D"),"Yes","No")</f>
        <v>Yes</v>
      </c>
      <c r="M113" s="43">
        <f t="shared" si="40"/>
        <v>0.73740000000000006</v>
      </c>
      <c r="N113" s="43">
        <f t="shared" si="41"/>
        <v>0.73234680703148292</v>
      </c>
      <c r="O113" s="43" t="str">
        <f t="shared" si="42"/>
        <v>Up to $10</v>
      </c>
      <c r="P113" s="43">
        <f t="shared" si="43"/>
        <v>5.0531929685171395E-3</v>
      </c>
      <c r="Q113" s="43">
        <f t="shared" si="44"/>
        <v>-6.8999999999999999E-3</v>
      </c>
      <c r="R113" s="43" t="str">
        <f t="shared" si="45"/>
        <v>$0-$5</v>
      </c>
      <c r="S113" s="45" t="str">
        <f>IF(M113&lt;=0.05,"$0-$0.05",IF(M113&lt;=0.5,"$0.05-$0.5",IF(M113&lt;=5,"$0.5-$5",IF(M113&lt;=50,"$5-$50","&gt;$50"))))</f>
        <v>$0.5-$5</v>
      </c>
    </row>
    <row r="114" spans="1:19" x14ac:dyDescent="0.35">
      <c r="A114" s="43" t="s">
        <v>119</v>
      </c>
      <c r="B114" s="43" t="s">
        <v>315</v>
      </c>
      <c r="C114" s="43" t="s">
        <v>504</v>
      </c>
      <c r="D114" s="44">
        <v>1.1999999999999999E-3</v>
      </c>
      <c r="E114" s="43">
        <f>D114</f>
        <v>1.1999999999999999E-3</v>
      </c>
      <c r="F114" s="43">
        <f t="shared" si="38"/>
        <v>-1.1999999999999999E-3</v>
      </c>
      <c r="G114" s="43">
        <f t="shared" si="39"/>
        <v>1.1999999999999999E-3</v>
      </c>
      <c r="H114" s="43" t="s">
        <v>700</v>
      </c>
      <c r="I114" s="43" t="s">
        <v>864</v>
      </c>
      <c r="J114" s="43">
        <f>IFERROR(VALUE(SUBSTITUTE(SUBSTITUTE(Table1[[#This Row],[Volume (24h) USD]],"$",""),",","")),0)</f>
        <v>7687892</v>
      </c>
      <c r="K114" s="43" t="s">
        <v>1057</v>
      </c>
      <c r="L114" s="43" t="str">
        <f>IF(OR(LEFT(Table1[[#This Row],[Coin Name]],1)="A",LEFT(Table1[[#This Row],[Coin Name]],1)="E",LEFT(Table1[[#This Row],[Coin Name]],1)="I",LEFT(Table1[[#This Row],[Coin Name]],1)="O",LEFT(Table1[[#This Row],[Coin Name]],1)="U",LEFT(Table1[[#This Row],[Coin Name]],1)="B",LEFT(Table1[[#This Row],[Coin Name]],1)="C",LEFT(Table1[[#This Row],[Coin Name]],1)="D"),"Yes","No")</f>
        <v>No</v>
      </c>
      <c r="M114" s="43">
        <f t="shared" si="40"/>
        <v>1.8810000000000001E-3</v>
      </c>
      <c r="N114" s="43">
        <f t="shared" si="41"/>
        <v>1.8787455053935276E-3</v>
      </c>
      <c r="O114" s="43" t="str">
        <f t="shared" si="42"/>
        <v>Up to $10</v>
      </c>
      <c r="P114" s="43">
        <f t="shared" si="43"/>
        <v>2.25449460647246E-6</v>
      </c>
      <c r="Q114" s="43">
        <f t="shared" si="44"/>
        <v>-1.1999999999999999E-3</v>
      </c>
      <c r="R114" s="43" t="str">
        <f t="shared" si="45"/>
        <v>$0-$5</v>
      </c>
      <c r="S114" s="45" t="str">
        <f t="shared" si="47"/>
        <v>&gt;$50</v>
      </c>
    </row>
    <row r="115" spans="1:19" x14ac:dyDescent="0.35">
      <c r="A115" s="43" t="s">
        <v>120</v>
      </c>
      <c r="B115" s="43" t="s">
        <v>316</v>
      </c>
      <c r="C115" s="43" t="s">
        <v>505</v>
      </c>
      <c r="D115" s="44">
        <v>8.8000000000000005E-3</v>
      </c>
      <c r="E115" s="43">
        <f>D115</f>
        <v>8.8000000000000005E-3</v>
      </c>
      <c r="F115" s="43">
        <f t="shared" si="38"/>
        <v>-8.8000000000000005E-3</v>
      </c>
      <c r="G115" s="43">
        <f t="shared" si="39"/>
        <v>8.8000000000000005E-3</v>
      </c>
      <c r="H115" s="43" t="s">
        <v>699</v>
      </c>
      <c r="I115" s="43" t="s">
        <v>865</v>
      </c>
      <c r="J115" s="43">
        <f>IFERROR(VALUE(SUBSTITUTE(SUBSTITUTE(Table1[[#This Row],[Volume (24h) USD]],"$",""),",","")),0)</f>
        <v>75137</v>
      </c>
      <c r="K115" s="43" t="s">
        <v>1058</v>
      </c>
      <c r="L115" s="43" t="str">
        <f>IF(OR(LEFT(Table1[[#This Row],[Coin Name]],1)="A",LEFT(Table1[[#This Row],[Coin Name]],1)="E",LEFT(Table1[[#This Row],[Coin Name]],1)="I",LEFT(Table1[[#This Row],[Coin Name]],1)="O",LEFT(Table1[[#This Row],[Coin Name]],1)="U",LEFT(Table1[[#This Row],[Coin Name]],1)="B",LEFT(Table1[[#This Row],[Coin Name]],1)="C",LEFT(Table1[[#This Row],[Coin Name]],1)="D"),"Yes","No")</f>
        <v>No</v>
      </c>
      <c r="M115" s="43">
        <f t="shared" si="40"/>
        <v>9.0589999999999993E-3</v>
      </c>
      <c r="N115" s="43">
        <f t="shared" si="41"/>
        <v>8.9799762093576534E-3</v>
      </c>
      <c r="O115" s="43" t="str">
        <f t="shared" si="42"/>
        <v>Up to $10</v>
      </c>
      <c r="P115" s="43">
        <f t="shared" si="43"/>
        <v>7.9023790642345978E-5</v>
      </c>
      <c r="Q115" s="43">
        <f t="shared" si="44"/>
        <v>-8.8000000000000005E-3</v>
      </c>
      <c r="R115" s="43" t="str">
        <f t="shared" si="45"/>
        <v>$0-$5</v>
      </c>
      <c r="S115" s="45" t="str">
        <f t="shared" si="47"/>
        <v>&gt;$50</v>
      </c>
    </row>
    <row r="116" spans="1:19" x14ac:dyDescent="0.35">
      <c r="A116" s="43" t="s">
        <v>202</v>
      </c>
      <c r="B116" s="43" t="s">
        <v>388</v>
      </c>
      <c r="C116" s="43" t="s">
        <v>587</v>
      </c>
      <c r="D116" s="44">
        <v>0</v>
      </c>
      <c r="E116" s="43">
        <f>D116</f>
        <v>0</v>
      </c>
      <c r="F116" s="43">
        <f t="shared" si="38"/>
        <v>0</v>
      </c>
      <c r="G116" s="43">
        <f t="shared" si="39"/>
        <v>0</v>
      </c>
      <c r="H116" s="43" t="s">
        <v>748</v>
      </c>
      <c r="I116" s="43" t="s">
        <v>941</v>
      </c>
      <c r="J116" s="43">
        <f>IFERROR(VALUE(SUBSTITUTE(SUBSTITUTE(Table1[[#This Row],[Volume (24h) USD]],"$",""),",","")),0)</f>
        <v>395470</v>
      </c>
      <c r="K116" s="43" t="s">
        <v>1135</v>
      </c>
      <c r="L116" s="43" t="str">
        <f>IF(OR(LEFT(Table1[[#This Row],[Coin Name]],1)="A",LEFT(Table1[[#This Row],[Coin Name]],1)="E",LEFT(Table1[[#This Row],[Coin Name]],1)="I",LEFT(Table1[[#This Row],[Coin Name]],1)="O",LEFT(Table1[[#This Row],[Coin Name]],1)="U",LEFT(Table1[[#This Row],[Coin Name]],1)="B",LEFT(Table1[[#This Row],[Coin Name]],1)="C",LEFT(Table1[[#This Row],[Coin Name]],1)="D"),"Yes","No")</f>
        <v>Yes</v>
      </c>
      <c r="M116" s="43">
        <f t="shared" si="40"/>
        <v>1.286E-3</v>
      </c>
      <c r="N116" s="43">
        <f t="shared" si="41"/>
        <v>1.286E-3</v>
      </c>
      <c r="O116" s="43" t="str">
        <f t="shared" si="42"/>
        <v>Up to $10</v>
      </c>
      <c r="P116" s="43">
        <f t="shared" si="43"/>
        <v>0</v>
      </c>
      <c r="Q116" s="43">
        <f t="shared" si="44"/>
        <v>0</v>
      </c>
      <c r="R116" s="43" t="str">
        <f t="shared" si="45"/>
        <v>$0-$5</v>
      </c>
      <c r="S116" s="45" t="str">
        <f>IF(M116&lt;=0.05,"$0-$0.05",IF(M116&lt;=0.5,"$0.05-$0.5",IF(M116&lt;=5,"$0.5-$5",IF(M116&lt;=50,"$5-$50","&gt;$50"))))</f>
        <v>$0-$0.05</v>
      </c>
    </row>
    <row r="117" spans="1:19" x14ac:dyDescent="0.35">
      <c r="A117" s="43" t="s">
        <v>122</v>
      </c>
      <c r="B117" s="43" t="s">
        <v>317</v>
      </c>
      <c r="C117" s="43" t="s">
        <v>507</v>
      </c>
      <c r="D117" s="44">
        <v>1.26E-2</v>
      </c>
      <c r="E117" s="43">
        <f>D117</f>
        <v>1.26E-2</v>
      </c>
      <c r="F117" s="43">
        <f t="shared" si="38"/>
        <v>-1.26E-2</v>
      </c>
      <c r="G117" s="43">
        <f t="shared" si="39"/>
        <v>1.26E-2</v>
      </c>
      <c r="H117" s="43" t="s">
        <v>702</v>
      </c>
      <c r="I117" s="43" t="s">
        <v>867</v>
      </c>
      <c r="J117" s="43">
        <f>IFERROR(VALUE(SUBSTITUTE(SUBSTITUTE(Table1[[#This Row],[Volume (24h) USD]],"$",""),",","")),0)</f>
        <v>8504736</v>
      </c>
      <c r="K117" s="43" t="s">
        <v>1060</v>
      </c>
      <c r="L117" s="43" t="str">
        <f>IF(OR(LEFT(Table1[[#This Row],[Coin Name]],1)="A",LEFT(Table1[[#This Row],[Coin Name]],1)="E",LEFT(Table1[[#This Row],[Coin Name]],1)="I",LEFT(Table1[[#This Row],[Coin Name]],1)="O",LEFT(Table1[[#This Row],[Coin Name]],1)="U",LEFT(Table1[[#This Row],[Coin Name]],1)="B",LEFT(Table1[[#This Row],[Coin Name]],1)="C",LEFT(Table1[[#This Row],[Coin Name]],1)="D"),"Yes","No")</f>
        <v>No</v>
      </c>
      <c r="M117" s="43">
        <f t="shared" si="40"/>
        <v>9.0810000000000005E-3</v>
      </c>
      <c r="N117" s="43">
        <f t="shared" si="41"/>
        <v>8.9680031601817121E-3</v>
      </c>
      <c r="O117" s="43" t="str">
        <f t="shared" si="42"/>
        <v>Up to $10</v>
      </c>
      <c r="P117" s="43">
        <f t="shared" si="43"/>
        <v>1.1299683981828845E-4</v>
      </c>
      <c r="Q117" s="43">
        <f t="shared" si="44"/>
        <v>-1.26E-2</v>
      </c>
      <c r="R117" s="43" t="str">
        <f t="shared" si="45"/>
        <v>$0-$5</v>
      </c>
      <c r="S117" s="45" t="str">
        <f t="shared" si="47"/>
        <v>&gt;$50</v>
      </c>
    </row>
    <row r="118" spans="1:19" x14ac:dyDescent="0.35">
      <c r="A118" s="43" t="s">
        <v>124</v>
      </c>
      <c r="B118" s="43" t="s">
        <v>319</v>
      </c>
      <c r="C118" s="43" t="s">
        <v>509</v>
      </c>
      <c r="D118" s="44">
        <v>4.4999999999999997E-3</v>
      </c>
      <c r="E118" s="43">
        <f>D118</f>
        <v>4.4999999999999997E-3</v>
      </c>
      <c r="F118" s="43">
        <f t="shared" si="38"/>
        <v>-4.4999999999999997E-3</v>
      </c>
      <c r="G118" s="43">
        <f t="shared" si="39"/>
        <v>4.4999999999999997E-3</v>
      </c>
      <c r="H118" s="43" t="s">
        <v>702</v>
      </c>
      <c r="I118" s="43" t="s">
        <v>869</v>
      </c>
      <c r="J118" s="43">
        <f>IFERROR(VALUE(SUBSTITUTE(SUBSTITUTE(Table1[[#This Row],[Volume (24h) USD]],"$",""),",","")),0)</f>
        <v>351905</v>
      </c>
      <c r="K118" s="43" t="s">
        <v>1062</v>
      </c>
      <c r="L118" s="43" t="str">
        <f>IF(OR(LEFT(Table1[[#This Row],[Coin Name]],1)="A",LEFT(Table1[[#This Row],[Coin Name]],1)="E",LEFT(Table1[[#This Row],[Coin Name]],1)="I",LEFT(Table1[[#This Row],[Coin Name]],1)="O",LEFT(Table1[[#This Row],[Coin Name]],1)="U",LEFT(Table1[[#This Row],[Coin Name]],1)="B",LEFT(Table1[[#This Row],[Coin Name]],1)="C",LEFT(Table1[[#This Row],[Coin Name]],1)="D"),"Yes","No")</f>
        <v>Yes</v>
      </c>
      <c r="M118" s="43">
        <f t="shared" si="40"/>
        <v>1.413E-2</v>
      </c>
      <c r="N118" s="43">
        <f t="shared" si="41"/>
        <v>1.4066699850671978E-2</v>
      </c>
      <c r="O118" s="43" t="str">
        <f t="shared" si="42"/>
        <v>Up to $10</v>
      </c>
      <c r="P118" s="43">
        <f t="shared" si="43"/>
        <v>6.3300149328022678E-5</v>
      </c>
      <c r="Q118" s="43">
        <f t="shared" si="44"/>
        <v>-4.4999999999999997E-3</v>
      </c>
      <c r="R118" s="43" t="str">
        <f t="shared" si="45"/>
        <v>$0-$5</v>
      </c>
      <c r="S118" s="45" t="str">
        <f t="shared" ref="S118:S119" si="50">IF(M118&lt;=0.05,"$0-$0.05",IF(M118&lt;=0.5,"$0.05-$0.5",IF(M118&lt;=5,"$0.5-$5",IF(M118&lt;=50,"$5-$50","&gt;$50"))))</f>
        <v>$0-$0.05</v>
      </c>
    </row>
    <row r="119" spans="1:19" x14ac:dyDescent="0.35">
      <c r="A119" s="43" t="s">
        <v>100</v>
      </c>
      <c r="B119" s="43" t="s">
        <v>296</v>
      </c>
      <c r="C119" s="43" t="s">
        <v>485</v>
      </c>
      <c r="D119" s="44">
        <v>2.9999999999999997E-4</v>
      </c>
      <c r="E119" s="43">
        <f>D119</f>
        <v>2.9999999999999997E-4</v>
      </c>
      <c r="F119" s="43">
        <f t="shared" si="38"/>
        <v>-2.9999999999999997E-4</v>
      </c>
      <c r="G119" s="43">
        <f t="shared" si="39"/>
        <v>2.9999999999999997E-4</v>
      </c>
      <c r="H119" s="43" t="s">
        <v>685</v>
      </c>
      <c r="I119" s="43" t="s">
        <v>845</v>
      </c>
      <c r="J119" s="43">
        <f>IFERROR(VALUE(SUBSTITUTE(SUBSTITUTE(Table1[[#This Row],[Volume (24h) USD]],"$",""),",","")),0)</f>
        <v>326498</v>
      </c>
      <c r="K119" s="43" t="s">
        <v>1038</v>
      </c>
      <c r="L119" s="43" t="str">
        <f>IF(OR(LEFT(Table1[[#This Row],[Coin Name]],1)="A",LEFT(Table1[[#This Row],[Coin Name]],1)="E",LEFT(Table1[[#This Row],[Coin Name]],1)="I",LEFT(Table1[[#This Row],[Coin Name]],1)="O",LEFT(Table1[[#This Row],[Coin Name]],1)="U",LEFT(Table1[[#This Row],[Coin Name]],1)="B",LEFT(Table1[[#This Row],[Coin Name]],1)="C",LEFT(Table1[[#This Row],[Coin Name]],1)="D"),"Yes","No")</f>
        <v>Yes</v>
      </c>
      <c r="M119" s="43">
        <f t="shared" si="40"/>
        <v>7.1993000000000001E-2</v>
      </c>
      <c r="N119" s="43">
        <f t="shared" si="41"/>
        <v>7.1971408577426774E-2</v>
      </c>
      <c r="O119" s="43" t="str">
        <f t="shared" si="42"/>
        <v>Up to $10</v>
      </c>
      <c r="P119" s="43">
        <f t="shared" si="43"/>
        <v>2.159142257322777E-5</v>
      </c>
      <c r="Q119" s="43">
        <f t="shared" si="44"/>
        <v>-2.9999999999999997E-4</v>
      </c>
      <c r="R119" s="43" t="str">
        <f t="shared" si="45"/>
        <v>$0-$5</v>
      </c>
      <c r="S119" s="45" t="str">
        <f t="shared" si="50"/>
        <v>$0.05-$0.5</v>
      </c>
    </row>
    <row r="120" spans="1:19" x14ac:dyDescent="0.35">
      <c r="A120" s="43" t="s">
        <v>125</v>
      </c>
      <c r="B120" s="43" t="s">
        <v>320</v>
      </c>
      <c r="C120" s="43" t="s">
        <v>510</v>
      </c>
      <c r="D120" s="44">
        <v>2.18E-2</v>
      </c>
      <c r="E120" s="43">
        <f>D120</f>
        <v>2.18E-2</v>
      </c>
      <c r="F120" s="43">
        <f t="shared" si="38"/>
        <v>-2.18E-2</v>
      </c>
      <c r="G120" s="43">
        <f t="shared" si="39"/>
        <v>2.18E-2</v>
      </c>
      <c r="H120" s="43" t="s">
        <v>704</v>
      </c>
      <c r="I120" s="43" t="s">
        <v>870</v>
      </c>
      <c r="J120" s="43">
        <f>IFERROR(VALUE(SUBSTITUTE(SUBSTITUTE(Table1[[#This Row],[Volume (24h) USD]],"$",""),",","")),0)</f>
        <v>1959456</v>
      </c>
      <c r="K120" s="43" t="s">
        <v>1063</v>
      </c>
      <c r="L120" s="43" t="str">
        <f>IF(OR(LEFT(Table1[[#This Row],[Coin Name]],1)="A",LEFT(Table1[[#This Row],[Coin Name]],1)="E",LEFT(Table1[[#This Row],[Coin Name]],1)="I",LEFT(Table1[[#This Row],[Coin Name]],1)="O",LEFT(Table1[[#This Row],[Coin Name]],1)="U",LEFT(Table1[[#This Row],[Coin Name]],1)="B",LEFT(Table1[[#This Row],[Coin Name]],1)="C",LEFT(Table1[[#This Row],[Coin Name]],1)="D"),"Yes","No")</f>
        <v>No</v>
      </c>
      <c r="M120" s="43">
        <f t="shared" si="40"/>
        <v>1.661E-2</v>
      </c>
      <c r="N120" s="43">
        <f t="shared" si="41"/>
        <v>1.6255627324329613E-2</v>
      </c>
      <c r="O120" s="43" t="str">
        <f t="shared" si="42"/>
        <v>Up to $10</v>
      </c>
      <c r="P120" s="43">
        <f t="shared" si="43"/>
        <v>3.5437267567038633E-4</v>
      </c>
      <c r="Q120" s="43">
        <f t="shared" si="44"/>
        <v>-2.18E-2</v>
      </c>
      <c r="R120" s="43" t="str">
        <f t="shared" si="45"/>
        <v>$0-$5</v>
      </c>
      <c r="S120" s="45" t="str">
        <f t="shared" si="47"/>
        <v>&gt;$50</v>
      </c>
    </row>
    <row r="121" spans="1:19" x14ac:dyDescent="0.35">
      <c r="A121" s="43" t="s">
        <v>126</v>
      </c>
      <c r="B121" s="43" t="s">
        <v>321</v>
      </c>
      <c r="C121" s="43" t="s">
        <v>511</v>
      </c>
      <c r="D121" s="44">
        <v>1.4200000000000001E-2</v>
      </c>
      <c r="E121" s="43">
        <f>D121</f>
        <v>1.4200000000000001E-2</v>
      </c>
      <c r="F121" s="43">
        <f t="shared" si="38"/>
        <v>-1.4200000000000001E-2</v>
      </c>
      <c r="G121" s="43">
        <f t="shared" si="39"/>
        <v>1.4200000000000001E-2</v>
      </c>
      <c r="H121" s="43" t="s">
        <v>704</v>
      </c>
      <c r="I121" s="43" t="s">
        <v>871</v>
      </c>
      <c r="J121" s="43">
        <f>IFERROR(VALUE(SUBSTITUTE(SUBSTITUTE(Table1[[#This Row],[Volume (24h) USD]],"$",""),",","")),0)</f>
        <v>196385</v>
      </c>
      <c r="K121" s="43" t="s">
        <v>1064</v>
      </c>
      <c r="L121" s="43" t="str">
        <f>IF(OR(LEFT(Table1[[#This Row],[Coin Name]],1)="A",LEFT(Table1[[#This Row],[Coin Name]],1)="E",LEFT(Table1[[#This Row],[Coin Name]],1)="I",LEFT(Table1[[#This Row],[Coin Name]],1)="O",LEFT(Table1[[#This Row],[Coin Name]],1)="U",LEFT(Table1[[#This Row],[Coin Name]],1)="B",LEFT(Table1[[#This Row],[Coin Name]],1)="C",LEFT(Table1[[#This Row],[Coin Name]],1)="D"),"Yes","No")</f>
        <v>No</v>
      </c>
      <c r="M121" s="43">
        <f t="shared" si="40"/>
        <v>9.2256000000000005E-2</v>
      </c>
      <c r="N121" s="43">
        <f t="shared" si="41"/>
        <v>9.0964306842831799E-2</v>
      </c>
      <c r="O121" s="43" t="str">
        <f t="shared" si="42"/>
        <v>Up to $10</v>
      </c>
      <c r="P121" s="43">
        <f t="shared" si="43"/>
        <v>1.2916931571682055E-3</v>
      </c>
      <c r="Q121" s="43">
        <f t="shared" si="44"/>
        <v>-1.4200000000000001E-2</v>
      </c>
      <c r="R121" s="43" t="str">
        <f t="shared" si="45"/>
        <v>$0-$5</v>
      </c>
      <c r="S121" s="45" t="str">
        <f t="shared" si="47"/>
        <v>&gt;$50</v>
      </c>
    </row>
    <row r="122" spans="1:19" x14ac:dyDescent="0.35">
      <c r="A122" s="43" t="s">
        <v>127</v>
      </c>
      <c r="B122" s="43" t="s">
        <v>322</v>
      </c>
      <c r="C122" s="43" t="s">
        <v>512</v>
      </c>
      <c r="D122" s="44">
        <v>4.4999999999999997E-3</v>
      </c>
      <c r="E122" s="43">
        <f>D122</f>
        <v>4.4999999999999997E-3</v>
      </c>
      <c r="F122" s="43">
        <f t="shared" si="38"/>
        <v>-4.4999999999999997E-3</v>
      </c>
      <c r="G122" s="43">
        <f t="shared" si="39"/>
        <v>4.4999999999999997E-3</v>
      </c>
      <c r="H122" s="43" t="s">
        <v>705</v>
      </c>
      <c r="I122" s="43" t="s">
        <v>863</v>
      </c>
      <c r="J122" s="43">
        <f>IFERROR(VALUE(SUBSTITUTE(SUBSTITUTE(Table1[[#This Row],[Volume (24h) USD]],"$",""),",","")),0)</f>
        <v>0</v>
      </c>
      <c r="K122" s="43" t="s">
        <v>1065</v>
      </c>
      <c r="L122" s="43" t="str">
        <f>IF(OR(LEFT(Table1[[#This Row],[Coin Name]],1)="A",LEFT(Table1[[#This Row],[Coin Name]],1)="E",LEFT(Table1[[#This Row],[Coin Name]],1)="I",LEFT(Table1[[#This Row],[Coin Name]],1)="O",LEFT(Table1[[#This Row],[Coin Name]],1)="U",LEFT(Table1[[#This Row],[Coin Name]],1)="B",LEFT(Table1[[#This Row],[Coin Name]],1)="C",LEFT(Table1[[#This Row],[Coin Name]],1)="D"),"Yes","No")</f>
        <v>No</v>
      </c>
      <c r="M122" s="43">
        <f t="shared" si="40"/>
        <v>1.69</v>
      </c>
      <c r="N122" s="43">
        <f t="shared" si="41"/>
        <v>1.6824290691886512</v>
      </c>
      <c r="O122" s="43" t="str">
        <f t="shared" si="42"/>
        <v>Up to $10</v>
      </c>
      <c r="P122" s="43">
        <f t="shared" si="43"/>
        <v>7.5709308113487417E-3</v>
      </c>
      <c r="Q122" s="43">
        <f t="shared" si="44"/>
        <v>-4.4999999999999997E-3</v>
      </c>
      <c r="R122" s="43" t="str">
        <f t="shared" si="45"/>
        <v>$0-$5</v>
      </c>
      <c r="S122" s="45" t="str">
        <f t="shared" si="47"/>
        <v>&gt;$50</v>
      </c>
    </row>
    <row r="123" spans="1:19" x14ac:dyDescent="0.35">
      <c r="A123" s="43" t="s">
        <v>128</v>
      </c>
      <c r="B123" s="43" t="s">
        <v>128</v>
      </c>
      <c r="C123" s="43" t="s">
        <v>513</v>
      </c>
      <c r="D123" s="44">
        <v>1.09E-2</v>
      </c>
      <c r="E123" s="43">
        <f>D123</f>
        <v>1.09E-2</v>
      </c>
      <c r="F123" s="43">
        <f t="shared" si="38"/>
        <v>-1.09E-2</v>
      </c>
      <c r="G123" s="43">
        <f t="shared" si="39"/>
        <v>1.09E-2</v>
      </c>
      <c r="H123" s="43" t="s">
        <v>705</v>
      </c>
      <c r="I123" s="43" t="s">
        <v>872</v>
      </c>
      <c r="J123" s="43">
        <f>IFERROR(VALUE(SUBSTITUTE(SUBSTITUTE(Table1[[#This Row],[Volume (24h) USD]],"$",""),",","")),0)</f>
        <v>3410421</v>
      </c>
      <c r="K123" s="43" t="s">
        <v>1066</v>
      </c>
      <c r="L123" s="43" t="str">
        <f>IF(OR(LEFT(Table1[[#This Row],[Coin Name]],1)="A",LEFT(Table1[[#This Row],[Coin Name]],1)="E",LEFT(Table1[[#This Row],[Coin Name]],1)="I",LEFT(Table1[[#This Row],[Coin Name]],1)="O",LEFT(Table1[[#This Row],[Coin Name]],1)="U",LEFT(Table1[[#This Row],[Coin Name]],1)="B",LEFT(Table1[[#This Row],[Coin Name]],1)="C",LEFT(Table1[[#This Row],[Coin Name]],1)="D"),"Yes","No")</f>
        <v>No</v>
      </c>
      <c r="M123" s="43">
        <f t="shared" si="40"/>
        <v>3.4939999999999999E-2</v>
      </c>
      <c r="N123" s="43">
        <f t="shared" si="41"/>
        <v>3.4563260460975367E-2</v>
      </c>
      <c r="O123" s="43" t="str">
        <f t="shared" si="42"/>
        <v>Up to $10</v>
      </c>
      <c r="P123" s="43">
        <f t="shared" si="43"/>
        <v>3.7673953902463142E-4</v>
      </c>
      <c r="Q123" s="43">
        <f t="shared" si="44"/>
        <v>-1.09E-2</v>
      </c>
      <c r="R123" s="43" t="str">
        <f t="shared" si="45"/>
        <v>$0-$5</v>
      </c>
      <c r="S123" s="45" t="str">
        <f t="shared" si="47"/>
        <v>&gt;$50</v>
      </c>
    </row>
    <row r="124" spans="1:19" x14ac:dyDescent="0.35">
      <c r="A124" s="43" t="s">
        <v>174</v>
      </c>
      <c r="B124" s="43" t="s">
        <v>365</v>
      </c>
      <c r="C124" s="43" t="s">
        <v>559</v>
      </c>
      <c r="D124" s="44">
        <v>5.8999999999999999E-3</v>
      </c>
      <c r="E124" s="43">
        <f>D124</f>
        <v>5.8999999999999999E-3</v>
      </c>
      <c r="F124" s="43">
        <f t="shared" si="38"/>
        <v>-5.8999999999999999E-3</v>
      </c>
      <c r="G124" s="43">
        <f t="shared" si="39"/>
        <v>5.8999999999999999E-3</v>
      </c>
      <c r="H124" s="43" t="s">
        <v>738</v>
      </c>
      <c r="I124" s="43" t="s">
        <v>916</v>
      </c>
      <c r="J124" s="43">
        <f>IFERROR(VALUE(SUBSTITUTE(SUBSTITUTE(Table1[[#This Row],[Volume (24h) USD]],"$",""),",","")),0)</f>
        <v>274603</v>
      </c>
      <c r="K124" s="43" t="s">
        <v>959</v>
      </c>
      <c r="L124" s="43" t="str">
        <f>IF(OR(LEFT(Table1[[#This Row],[Coin Name]],1)="A",LEFT(Table1[[#This Row],[Coin Name]],1)="E",LEFT(Table1[[#This Row],[Coin Name]],1)="I",LEFT(Table1[[#This Row],[Coin Name]],1)="O",LEFT(Table1[[#This Row],[Coin Name]],1)="U",LEFT(Table1[[#This Row],[Coin Name]],1)="B",LEFT(Table1[[#This Row],[Coin Name]],1)="C",LEFT(Table1[[#This Row],[Coin Name]],1)="D"),"Yes","No")</f>
        <v>Yes</v>
      </c>
      <c r="M124" s="43">
        <f t="shared" si="40"/>
        <v>2.5270000000000002E-3</v>
      </c>
      <c r="N124" s="43">
        <f t="shared" si="41"/>
        <v>2.5121781489213643E-3</v>
      </c>
      <c r="O124" s="43" t="str">
        <f t="shared" si="42"/>
        <v>Up to $10</v>
      </c>
      <c r="P124" s="43">
        <f t="shared" si="43"/>
        <v>1.4821851078635883E-5</v>
      </c>
      <c r="Q124" s="43">
        <f t="shared" si="44"/>
        <v>-5.8999999999999999E-3</v>
      </c>
      <c r="R124" s="43" t="str">
        <f t="shared" si="45"/>
        <v>$0-$5</v>
      </c>
      <c r="S124" s="45" t="str">
        <f>IF(M124&lt;=0.05,"$0-$0.05",IF(M124&lt;=0.5,"$0.05-$0.5",IF(M124&lt;=5,"$0.5-$5",IF(M124&lt;=50,"$5-$50","&gt;$50"))))</f>
        <v>$0-$0.05</v>
      </c>
    </row>
    <row r="125" spans="1:19" x14ac:dyDescent="0.35">
      <c r="A125" s="43" t="s">
        <v>130</v>
      </c>
      <c r="B125" s="43" t="s">
        <v>324</v>
      </c>
      <c r="C125" s="43" t="s">
        <v>515</v>
      </c>
      <c r="D125" s="44">
        <v>5.3E-3</v>
      </c>
      <c r="E125" s="43">
        <f>D125</f>
        <v>5.3E-3</v>
      </c>
      <c r="F125" s="43">
        <f t="shared" si="38"/>
        <v>-5.3E-3</v>
      </c>
      <c r="G125" s="43">
        <f t="shared" si="39"/>
        <v>5.3E-3</v>
      </c>
      <c r="H125" s="43" t="s">
        <v>707</v>
      </c>
      <c r="I125" s="43" t="s">
        <v>874</v>
      </c>
      <c r="J125" s="43">
        <f>IFERROR(VALUE(SUBSTITUTE(SUBSTITUTE(Table1[[#This Row],[Volume (24h) USD]],"$",""),",","")),0)</f>
        <v>166190</v>
      </c>
      <c r="K125" s="43" t="s">
        <v>1068</v>
      </c>
      <c r="L125" s="43" t="str">
        <f>IF(OR(LEFT(Table1[[#This Row],[Coin Name]],1)="A",LEFT(Table1[[#This Row],[Coin Name]],1)="E",LEFT(Table1[[#This Row],[Coin Name]],1)="I",LEFT(Table1[[#This Row],[Coin Name]],1)="O",LEFT(Table1[[#This Row],[Coin Name]],1)="U",LEFT(Table1[[#This Row],[Coin Name]],1)="B",LEFT(Table1[[#This Row],[Coin Name]],1)="C",LEFT(Table1[[#This Row],[Coin Name]],1)="D"),"Yes","No")</f>
        <v>No</v>
      </c>
      <c r="M125" s="43">
        <f t="shared" si="40"/>
        <v>1.839E-2</v>
      </c>
      <c r="N125" s="43">
        <f t="shared" si="41"/>
        <v>1.8293046851686062E-2</v>
      </c>
      <c r="O125" s="43" t="str">
        <f t="shared" si="42"/>
        <v>Up to $10</v>
      </c>
      <c r="P125" s="43">
        <f t="shared" si="43"/>
        <v>9.6953148313937837E-5</v>
      </c>
      <c r="Q125" s="43">
        <f t="shared" si="44"/>
        <v>-5.3E-3</v>
      </c>
      <c r="R125" s="43" t="str">
        <f t="shared" si="45"/>
        <v>$0-$5</v>
      </c>
      <c r="S125" s="45" t="str">
        <f t="shared" si="47"/>
        <v>&gt;$50</v>
      </c>
    </row>
    <row r="126" spans="1:19" x14ac:dyDescent="0.35">
      <c r="A126" s="43" t="s">
        <v>90</v>
      </c>
      <c r="B126" s="43" t="s">
        <v>286</v>
      </c>
      <c r="C126" s="43" t="s">
        <v>475</v>
      </c>
      <c r="D126" s="44">
        <v>1.24E-2</v>
      </c>
      <c r="E126" s="43">
        <f>D126</f>
        <v>1.24E-2</v>
      </c>
      <c r="F126" s="43">
        <f t="shared" si="38"/>
        <v>-1.24E-2</v>
      </c>
      <c r="G126" s="43">
        <f t="shared" si="39"/>
        <v>1.24E-2</v>
      </c>
      <c r="H126" s="43" t="s">
        <v>675</v>
      </c>
      <c r="I126" s="43" t="s">
        <v>835</v>
      </c>
      <c r="J126" s="43">
        <f>IFERROR(VALUE(SUBSTITUTE(SUBSTITUTE(Table1[[#This Row],[Volume (24h) USD]],"$",""),",","")),0)</f>
        <v>268389</v>
      </c>
      <c r="K126" s="43" t="s">
        <v>1029</v>
      </c>
      <c r="L126" s="43" t="str">
        <f>IF(OR(LEFT(Table1[[#This Row],[Coin Name]],1)="A",LEFT(Table1[[#This Row],[Coin Name]],1)="E",LEFT(Table1[[#This Row],[Coin Name]],1)="I",LEFT(Table1[[#This Row],[Coin Name]],1)="O",LEFT(Table1[[#This Row],[Coin Name]],1)="U",LEFT(Table1[[#This Row],[Coin Name]],1)="B",LEFT(Table1[[#This Row],[Coin Name]],1)="C",LEFT(Table1[[#This Row],[Coin Name]],1)="D"),"Yes","No")</f>
        <v>Yes</v>
      </c>
      <c r="M126" s="43">
        <f t="shared" si="40"/>
        <v>2.5230000000000001E-3</v>
      </c>
      <c r="N126" s="43">
        <f t="shared" si="41"/>
        <v>2.4920979849861716E-3</v>
      </c>
      <c r="O126" s="43" t="str">
        <f t="shared" si="42"/>
        <v>Up to $10</v>
      </c>
      <c r="P126" s="43">
        <f t="shared" si="43"/>
        <v>3.0902015013828475E-5</v>
      </c>
      <c r="Q126" s="43">
        <f t="shared" si="44"/>
        <v>-1.24E-2</v>
      </c>
      <c r="R126" s="43" t="str">
        <f t="shared" si="45"/>
        <v>$0-$5</v>
      </c>
      <c r="S126" s="45" t="str">
        <f>IF(M126&lt;=0.05,"$0-$0.05",IF(M126&lt;=0.5,"$0.05-$0.5",IF(M126&lt;=5,"$0.5-$5",IF(M126&lt;=50,"$5-$50","&gt;$50"))))</f>
        <v>$0-$0.05</v>
      </c>
    </row>
    <row r="127" spans="1:19" x14ac:dyDescent="0.35">
      <c r="A127" s="43" t="s">
        <v>132</v>
      </c>
      <c r="B127" s="43" t="s">
        <v>326</v>
      </c>
      <c r="C127" s="43" t="s">
        <v>517</v>
      </c>
      <c r="D127" s="44">
        <v>1.4200000000000001E-2</v>
      </c>
      <c r="E127" s="43">
        <f>D127</f>
        <v>1.4200000000000001E-2</v>
      </c>
      <c r="F127" s="43">
        <f t="shared" si="38"/>
        <v>-1.4200000000000001E-2</v>
      </c>
      <c r="G127" s="43">
        <f t="shared" si="39"/>
        <v>1.4200000000000001E-2</v>
      </c>
      <c r="H127" s="43" t="s">
        <v>706</v>
      </c>
      <c r="I127" s="43" t="s">
        <v>876</v>
      </c>
      <c r="J127" s="43">
        <f>IFERROR(VALUE(SUBSTITUTE(SUBSTITUTE(Table1[[#This Row],[Volume (24h) USD]],"$",""),",","")),0)</f>
        <v>2191863</v>
      </c>
      <c r="K127" s="43" t="s">
        <v>1070</v>
      </c>
      <c r="L127" s="43" t="str">
        <f>IF(OR(LEFT(Table1[[#This Row],[Coin Name]],1)="A",LEFT(Table1[[#This Row],[Coin Name]],1)="E",LEFT(Table1[[#This Row],[Coin Name]],1)="I",LEFT(Table1[[#This Row],[Coin Name]],1)="O",LEFT(Table1[[#This Row],[Coin Name]],1)="U",LEFT(Table1[[#This Row],[Coin Name]],1)="B",LEFT(Table1[[#This Row],[Coin Name]],1)="C",LEFT(Table1[[#This Row],[Coin Name]],1)="D"),"Yes","No")</f>
        <v>No</v>
      </c>
      <c r="M127" s="43">
        <f t="shared" si="40"/>
        <v>7.7879999999999998E-3</v>
      </c>
      <c r="N127" s="43">
        <f t="shared" si="41"/>
        <v>7.678958785249458E-3</v>
      </c>
      <c r="O127" s="43" t="str">
        <f t="shared" si="42"/>
        <v>Up to $10</v>
      </c>
      <c r="P127" s="43">
        <f t="shared" si="43"/>
        <v>1.0904121475054183E-4</v>
      </c>
      <c r="Q127" s="43">
        <f t="shared" si="44"/>
        <v>-1.4200000000000001E-2</v>
      </c>
      <c r="R127" s="43" t="str">
        <f t="shared" si="45"/>
        <v>$0-$5</v>
      </c>
      <c r="S127" s="45" t="str">
        <f t="shared" si="47"/>
        <v>&gt;$50</v>
      </c>
    </row>
    <row r="128" spans="1:19" x14ac:dyDescent="0.35">
      <c r="A128" s="43" t="s">
        <v>133</v>
      </c>
      <c r="B128" s="43" t="s">
        <v>327</v>
      </c>
      <c r="C128" s="43" t="s">
        <v>518</v>
      </c>
      <c r="D128" s="44">
        <v>7.0000000000000001E-3</v>
      </c>
      <c r="E128" s="43">
        <f>D128</f>
        <v>7.0000000000000001E-3</v>
      </c>
      <c r="F128" s="43">
        <f t="shared" si="38"/>
        <v>-7.0000000000000001E-3</v>
      </c>
      <c r="G128" s="43">
        <f t="shared" si="39"/>
        <v>7.0000000000000001E-3</v>
      </c>
      <c r="H128" s="43" t="s">
        <v>708</v>
      </c>
      <c r="I128" s="43" t="s">
        <v>877</v>
      </c>
      <c r="J128" s="43">
        <f>IFERROR(VALUE(SUBSTITUTE(SUBSTITUTE(Table1[[#This Row],[Volume (24h) USD]],"$",""),",","")),0)</f>
        <v>495661</v>
      </c>
      <c r="K128" s="43" t="s">
        <v>1071</v>
      </c>
      <c r="L128" s="43" t="str">
        <f>IF(OR(LEFT(Table1[[#This Row],[Coin Name]],1)="A",LEFT(Table1[[#This Row],[Coin Name]],1)="E",LEFT(Table1[[#This Row],[Coin Name]],1)="I",LEFT(Table1[[#This Row],[Coin Name]],1)="O",LEFT(Table1[[#This Row],[Coin Name]],1)="U",LEFT(Table1[[#This Row],[Coin Name]],1)="B",LEFT(Table1[[#This Row],[Coin Name]],1)="C",LEFT(Table1[[#This Row],[Coin Name]],1)="D"),"Yes","No")</f>
        <v>No</v>
      </c>
      <c r="M128" s="43">
        <f t="shared" si="40"/>
        <v>1.508E-2</v>
      </c>
      <c r="N128" s="43">
        <f t="shared" si="41"/>
        <v>1.4975173783515393E-2</v>
      </c>
      <c r="O128" s="43" t="str">
        <f t="shared" si="42"/>
        <v>Up to $10</v>
      </c>
      <c r="P128" s="43">
        <f t="shared" si="43"/>
        <v>1.0482621648460685E-4</v>
      </c>
      <c r="Q128" s="43">
        <f t="shared" si="44"/>
        <v>-7.0000000000000001E-3</v>
      </c>
      <c r="R128" s="43" t="str">
        <f t="shared" si="45"/>
        <v>$0-$5</v>
      </c>
      <c r="S128" s="45" t="str">
        <f t="shared" si="47"/>
        <v>&gt;$50</v>
      </c>
    </row>
    <row r="129" spans="1:19" x14ac:dyDescent="0.35">
      <c r="A129" s="43" t="s">
        <v>134</v>
      </c>
      <c r="B129" s="43" t="s">
        <v>328</v>
      </c>
      <c r="C129" s="43" t="s">
        <v>519</v>
      </c>
      <c r="D129" s="44">
        <v>0</v>
      </c>
      <c r="E129" s="43">
        <f>D129</f>
        <v>0</v>
      </c>
      <c r="F129" s="43">
        <f t="shared" si="38"/>
        <v>0</v>
      </c>
      <c r="G129" s="43">
        <f t="shared" si="39"/>
        <v>0</v>
      </c>
      <c r="H129" s="43" t="s">
        <v>709</v>
      </c>
      <c r="I129" s="43" t="s">
        <v>863</v>
      </c>
      <c r="J129" s="43">
        <f>IFERROR(VALUE(SUBSTITUTE(SUBSTITUTE(Table1[[#This Row],[Volume (24h) USD]],"$",""),",","")),0)</f>
        <v>0</v>
      </c>
      <c r="K129" s="43" t="s">
        <v>1072</v>
      </c>
      <c r="L129" s="43" t="str">
        <f>IF(OR(LEFT(Table1[[#This Row],[Coin Name]],1)="A",LEFT(Table1[[#This Row],[Coin Name]],1)="E",LEFT(Table1[[#This Row],[Coin Name]],1)="I",LEFT(Table1[[#This Row],[Coin Name]],1)="O",LEFT(Table1[[#This Row],[Coin Name]],1)="U",LEFT(Table1[[#This Row],[Coin Name]],1)="B",LEFT(Table1[[#This Row],[Coin Name]],1)="C",LEFT(Table1[[#This Row],[Coin Name]],1)="D"),"Yes","No")</f>
        <v>No</v>
      </c>
      <c r="M129" s="43">
        <f t="shared" si="40"/>
        <v>2.5340000000000001E-2</v>
      </c>
      <c r="N129" s="43">
        <f t="shared" si="41"/>
        <v>2.5340000000000001E-2</v>
      </c>
      <c r="O129" s="43" t="str">
        <f t="shared" si="42"/>
        <v>Up to $10</v>
      </c>
      <c r="P129" s="43">
        <f t="shared" si="43"/>
        <v>0</v>
      </c>
      <c r="Q129" s="43">
        <f t="shared" si="44"/>
        <v>0</v>
      </c>
      <c r="R129" s="43" t="str">
        <f t="shared" si="45"/>
        <v>$0-$5</v>
      </c>
      <c r="S129" s="45" t="str">
        <f t="shared" si="47"/>
        <v>&gt;$50</v>
      </c>
    </row>
    <row r="130" spans="1:19" x14ac:dyDescent="0.35">
      <c r="A130" s="43" t="s">
        <v>135</v>
      </c>
      <c r="B130" s="43" t="s">
        <v>329</v>
      </c>
      <c r="C130" s="43" t="s">
        <v>520</v>
      </c>
      <c r="D130" s="44">
        <v>1.5E-3</v>
      </c>
      <c r="E130" s="43">
        <f>D130</f>
        <v>1.5E-3</v>
      </c>
      <c r="F130" s="43">
        <f t="shared" ref="F130:F161" si="51">-D130</f>
        <v>-1.5E-3</v>
      </c>
      <c r="G130" s="43">
        <f t="shared" ref="G130:G161" si="52">D130</f>
        <v>1.5E-3</v>
      </c>
      <c r="H130" s="43" t="s">
        <v>710</v>
      </c>
      <c r="I130" s="43" t="s">
        <v>878</v>
      </c>
      <c r="J130" s="43">
        <f>IFERROR(VALUE(SUBSTITUTE(SUBSTITUTE(Table1[[#This Row],[Volume (24h) USD]],"$",""),",","")),0)</f>
        <v>721629</v>
      </c>
      <c r="K130" s="43" t="s">
        <v>1073</v>
      </c>
      <c r="L130" s="43" t="str">
        <f>IF(OR(LEFT(Table1[[#This Row],[Coin Name]],1)="A",LEFT(Table1[[#This Row],[Coin Name]],1)="E",LEFT(Table1[[#This Row],[Coin Name]],1)="I",LEFT(Table1[[#This Row],[Coin Name]],1)="O",LEFT(Table1[[#This Row],[Coin Name]],1)="U",LEFT(Table1[[#This Row],[Coin Name]],1)="B",LEFT(Table1[[#This Row],[Coin Name]],1)="C",LEFT(Table1[[#This Row],[Coin Name]],1)="D"),"Yes","No")</f>
        <v>No</v>
      </c>
      <c r="M130" s="43">
        <f t="shared" ref="M130:M161" si="53">VALUE(SUBSTITUTE(C130,"$",""))</f>
        <v>0.33090000000000003</v>
      </c>
      <c r="N130" s="43">
        <f t="shared" ref="N130:N161" si="54">M130/(1+D130)</f>
        <v>0.3304043934098852</v>
      </c>
      <c r="O130" s="43" t="str">
        <f t="shared" ref="O130:O161" si="55">IF(M130&lt;10,"Up to $10","&gt;= $10")</f>
        <v>Up to $10</v>
      </c>
      <c r="P130" s="43">
        <f t="shared" ref="P130:P161" si="56">M130-N130</f>
        <v>4.9560659011482766E-4</v>
      </c>
      <c r="Q130" s="43">
        <f t="shared" ref="Q130:Q161" si="57">F130</f>
        <v>-1.5E-3</v>
      </c>
      <c r="R130" s="43" t="str">
        <f t="shared" ref="R130:R161" si="58">IF(M130&lt;=5,"$0-$5","&gt;$5")</f>
        <v>$0-$5</v>
      </c>
      <c r="S130" s="45" t="str">
        <f t="shared" ref="S130:S161" si="59">IF(C130&lt;=0.05,"$0-$0.05",
IF(C130&lt;=0.5,"$0.05-$0.5",
IF(C130&lt;=5,"$0.5-$5",
IF(C130&lt;=50,"$5-$50","&gt;$50"))))</f>
        <v>&gt;$50</v>
      </c>
    </row>
    <row r="131" spans="1:19" x14ac:dyDescent="0.35">
      <c r="A131" s="43" t="s">
        <v>165</v>
      </c>
      <c r="B131" s="43" t="s">
        <v>357</v>
      </c>
      <c r="C131" s="43" t="s">
        <v>550</v>
      </c>
      <c r="D131" s="44">
        <v>1.1000000000000001E-3</v>
      </c>
      <c r="E131" s="43">
        <f>D131</f>
        <v>1.1000000000000001E-3</v>
      </c>
      <c r="F131" s="43">
        <f t="shared" si="51"/>
        <v>-1.1000000000000001E-3</v>
      </c>
      <c r="G131" s="43">
        <f t="shared" si="52"/>
        <v>1.1000000000000001E-3</v>
      </c>
      <c r="H131" s="43" t="s">
        <v>732</v>
      </c>
      <c r="I131" s="43" t="s">
        <v>908</v>
      </c>
      <c r="J131" s="43">
        <f>IFERROR(VALUE(SUBSTITUTE(SUBSTITUTE(Table1[[#This Row],[Volume (24h) USD]],"$",""),",","")),0)</f>
        <v>239395</v>
      </c>
      <c r="K131" s="43" t="s">
        <v>1103</v>
      </c>
      <c r="L131" s="43" t="str">
        <f>IF(OR(LEFT(Table1[[#This Row],[Coin Name]],1)="A",LEFT(Table1[[#This Row],[Coin Name]],1)="E",LEFT(Table1[[#This Row],[Coin Name]],1)="I",LEFT(Table1[[#This Row],[Coin Name]],1)="O",LEFT(Table1[[#This Row],[Coin Name]],1)="U",LEFT(Table1[[#This Row],[Coin Name]],1)="B",LEFT(Table1[[#This Row],[Coin Name]],1)="C",LEFT(Table1[[#This Row],[Coin Name]],1)="D"),"Yes","No")</f>
        <v>Yes</v>
      </c>
      <c r="M131" s="43">
        <f t="shared" si="53"/>
        <v>7.4697E-2</v>
      </c>
      <c r="N131" s="43">
        <f t="shared" si="54"/>
        <v>7.4614923584057524E-2</v>
      </c>
      <c r="O131" s="43" t="str">
        <f t="shared" si="55"/>
        <v>Up to $10</v>
      </c>
      <c r="P131" s="43">
        <f t="shared" si="56"/>
        <v>8.2076415942475278E-5</v>
      </c>
      <c r="Q131" s="43">
        <f t="shared" si="57"/>
        <v>-1.1000000000000001E-3</v>
      </c>
      <c r="R131" s="43" t="str">
        <f t="shared" si="58"/>
        <v>$0-$5</v>
      </c>
      <c r="S131" s="45" t="str">
        <f>IF(M131&lt;=0.05,"$0-$0.05",IF(M131&lt;=0.5,"$0.05-$0.5",IF(M131&lt;=5,"$0.5-$5",IF(M131&lt;=50,"$5-$50","&gt;$50"))))</f>
        <v>$0.05-$0.5</v>
      </c>
    </row>
    <row r="132" spans="1:19" x14ac:dyDescent="0.35">
      <c r="A132" s="43" t="s">
        <v>137</v>
      </c>
      <c r="B132" s="43" t="s">
        <v>331</v>
      </c>
      <c r="C132" s="43" t="s">
        <v>522</v>
      </c>
      <c r="D132" s="44">
        <v>1.26E-2</v>
      </c>
      <c r="E132" s="43">
        <f>D132</f>
        <v>1.26E-2</v>
      </c>
      <c r="F132" s="43">
        <f t="shared" si="51"/>
        <v>-1.26E-2</v>
      </c>
      <c r="G132" s="43">
        <f t="shared" si="52"/>
        <v>1.26E-2</v>
      </c>
      <c r="H132" s="43" t="s">
        <v>712</v>
      </c>
      <c r="I132" s="43" t="s">
        <v>880</v>
      </c>
      <c r="J132" s="43">
        <f>IFERROR(VALUE(SUBSTITUTE(SUBSTITUTE(Table1[[#This Row],[Volume (24h) USD]],"$",""),",","")),0)</f>
        <v>973654</v>
      </c>
      <c r="K132" s="43" t="s">
        <v>1075</v>
      </c>
      <c r="L132" s="43" t="str">
        <f>IF(OR(LEFT(Table1[[#This Row],[Coin Name]],1)="A",LEFT(Table1[[#This Row],[Coin Name]],1)="E",LEFT(Table1[[#This Row],[Coin Name]],1)="I",LEFT(Table1[[#This Row],[Coin Name]],1)="O",LEFT(Table1[[#This Row],[Coin Name]],1)="U",LEFT(Table1[[#This Row],[Coin Name]],1)="B",LEFT(Table1[[#This Row],[Coin Name]],1)="C",LEFT(Table1[[#This Row],[Coin Name]],1)="D"),"Yes","No")</f>
        <v>No</v>
      </c>
      <c r="M132" s="43">
        <f t="shared" si="53"/>
        <v>5.5209999999999999E-3</v>
      </c>
      <c r="N132" s="43">
        <f t="shared" si="54"/>
        <v>5.4523010073079204E-3</v>
      </c>
      <c r="O132" s="43" t="str">
        <f t="shared" si="55"/>
        <v>Up to $10</v>
      </c>
      <c r="P132" s="43">
        <f t="shared" si="56"/>
        <v>6.8698992692079429E-5</v>
      </c>
      <c r="Q132" s="43">
        <f t="shared" si="57"/>
        <v>-1.26E-2</v>
      </c>
      <c r="R132" s="43" t="str">
        <f t="shared" si="58"/>
        <v>$0-$5</v>
      </c>
      <c r="S132" s="45" t="str">
        <f t="shared" si="59"/>
        <v>&gt;$50</v>
      </c>
    </row>
    <row r="133" spans="1:19" x14ac:dyDescent="0.35">
      <c r="A133" s="43" t="s">
        <v>123</v>
      </c>
      <c r="B133" s="43" t="s">
        <v>318</v>
      </c>
      <c r="C133" s="43" t="s">
        <v>508</v>
      </c>
      <c r="D133" s="44">
        <v>1.7999999999999999E-2</v>
      </c>
      <c r="E133" s="43">
        <f>D133</f>
        <v>1.7999999999999999E-2</v>
      </c>
      <c r="F133" s="43">
        <f t="shared" si="51"/>
        <v>-1.7999999999999999E-2</v>
      </c>
      <c r="G133" s="43">
        <f t="shared" si="52"/>
        <v>1.7999999999999999E-2</v>
      </c>
      <c r="H133" s="43" t="s">
        <v>703</v>
      </c>
      <c r="I133" s="43" t="s">
        <v>868</v>
      </c>
      <c r="J133" s="43">
        <f>IFERROR(VALUE(SUBSTITUTE(SUBSTITUTE(Table1[[#This Row],[Volume (24h) USD]],"$",""),",","")),0)</f>
        <v>232710</v>
      </c>
      <c r="K133" s="43" t="s">
        <v>1061</v>
      </c>
      <c r="L133" s="43" t="str">
        <f>IF(OR(LEFT(Table1[[#This Row],[Coin Name]],1)="A",LEFT(Table1[[#This Row],[Coin Name]],1)="E",LEFT(Table1[[#This Row],[Coin Name]],1)="I",LEFT(Table1[[#This Row],[Coin Name]],1)="O",LEFT(Table1[[#This Row],[Coin Name]],1)="U",LEFT(Table1[[#This Row],[Coin Name]],1)="B",LEFT(Table1[[#This Row],[Coin Name]],1)="C",LEFT(Table1[[#This Row],[Coin Name]],1)="D"),"Yes","No")</f>
        <v>Yes</v>
      </c>
      <c r="M133" s="43">
        <f t="shared" si="53"/>
        <v>9.4009999999999996E-3</v>
      </c>
      <c r="N133" s="43">
        <f t="shared" si="54"/>
        <v>9.2347740667976415E-3</v>
      </c>
      <c r="O133" s="43" t="str">
        <f t="shared" si="55"/>
        <v>Up to $10</v>
      </c>
      <c r="P133" s="43">
        <f t="shared" si="56"/>
        <v>1.6622593320235815E-4</v>
      </c>
      <c r="Q133" s="43">
        <f t="shared" si="57"/>
        <v>-1.7999999999999999E-2</v>
      </c>
      <c r="R133" s="43" t="str">
        <f t="shared" si="58"/>
        <v>$0-$5</v>
      </c>
      <c r="S133" s="45" t="str">
        <f>IF(M133&lt;=0.05,"$0-$0.05",IF(M133&lt;=0.5,"$0.05-$0.5",IF(M133&lt;=5,"$0.5-$5",IF(M133&lt;=50,"$5-$50","&gt;$50"))))</f>
        <v>$0-$0.05</v>
      </c>
    </row>
    <row r="134" spans="1:19" x14ac:dyDescent="0.35">
      <c r="A134" s="43" t="s">
        <v>139</v>
      </c>
      <c r="B134" s="43" t="s">
        <v>333</v>
      </c>
      <c r="C134" s="43" t="s">
        <v>524</v>
      </c>
      <c r="D134" s="44">
        <v>0</v>
      </c>
      <c r="E134" s="43">
        <f>D134</f>
        <v>0</v>
      </c>
      <c r="F134" s="43">
        <f t="shared" si="51"/>
        <v>0</v>
      </c>
      <c r="G134" s="43">
        <f t="shared" si="52"/>
        <v>0</v>
      </c>
      <c r="H134" s="43" t="s">
        <v>714</v>
      </c>
      <c r="I134" s="43" t="s">
        <v>882</v>
      </c>
      <c r="J134" s="43">
        <f>IFERROR(VALUE(SUBSTITUTE(SUBSTITUTE(Table1[[#This Row],[Volume (24h) USD]],"$",""),",","")),0)</f>
        <v>1056108</v>
      </c>
      <c r="K134" s="43" t="s">
        <v>1077</v>
      </c>
      <c r="L134" s="43" t="str">
        <f>IF(OR(LEFT(Table1[[#This Row],[Coin Name]],1)="A",LEFT(Table1[[#This Row],[Coin Name]],1)="E",LEFT(Table1[[#This Row],[Coin Name]],1)="I",LEFT(Table1[[#This Row],[Coin Name]],1)="O",LEFT(Table1[[#This Row],[Coin Name]],1)="U",LEFT(Table1[[#This Row],[Coin Name]],1)="B",LEFT(Table1[[#This Row],[Coin Name]],1)="C",LEFT(Table1[[#This Row],[Coin Name]],1)="D"),"Yes","No")</f>
        <v>No</v>
      </c>
      <c r="M134" s="43">
        <f t="shared" si="53"/>
        <v>5.4479999999999997E-3</v>
      </c>
      <c r="N134" s="43">
        <f t="shared" si="54"/>
        <v>5.4479999999999997E-3</v>
      </c>
      <c r="O134" s="43" t="str">
        <f t="shared" si="55"/>
        <v>Up to $10</v>
      </c>
      <c r="P134" s="43">
        <f t="shared" si="56"/>
        <v>0</v>
      </c>
      <c r="Q134" s="43">
        <f t="shared" si="57"/>
        <v>0</v>
      </c>
      <c r="R134" s="43" t="str">
        <f t="shared" si="58"/>
        <v>$0-$5</v>
      </c>
      <c r="S134" s="45" t="str">
        <f t="shared" si="59"/>
        <v>&gt;$50</v>
      </c>
    </row>
    <row r="135" spans="1:19" x14ac:dyDescent="0.35">
      <c r="A135" s="43" t="s">
        <v>147</v>
      </c>
      <c r="B135" s="43" t="s">
        <v>341</v>
      </c>
      <c r="C135" s="43" t="s">
        <v>532</v>
      </c>
      <c r="D135" s="44">
        <v>1.5E-3</v>
      </c>
      <c r="E135" s="43">
        <f>D135</f>
        <v>1.5E-3</v>
      </c>
      <c r="F135" s="43">
        <f t="shared" si="51"/>
        <v>-1.5E-3</v>
      </c>
      <c r="G135" s="43">
        <f t="shared" si="52"/>
        <v>1.5E-3</v>
      </c>
      <c r="H135" s="43" t="s">
        <v>720</v>
      </c>
      <c r="I135" s="43" t="s">
        <v>890</v>
      </c>
      <c r="J135" s="43">
        <f>IFERROR(VALUE(SUBSTITUTE(SUBSTITUTE(Table1[[#This Row],[Volume (24h) USD]],"$",""),",","")),0)</f>
        <v>193524</v>
      </c>
      <c r="K135" s="43" t="s">
        <v>1085</v>
      </c>
      <c r="L135" s="43" t="str">
        <f>IF(OR(LEFT(Table1[[#This Row],[Coin Name]],1)="A",LEFT(Table1[[#This Row],[Coin Name]],1)="E",LEFT(Table1[[#This Row],[Coin Name]],1)="I",LEFT(Table1[[#This Row],[Coin Name]],1)="O",LEFT(Table1[[#This Row],[Coin Name]],1)="U",LEFT(Table1[[#This Row],[Coin Name]],1)="B",LEFT(Table1[[#This Row],[Coin Name]],1)="C",LEFT(Table1[[#This Row],[Coin Name]],1)="D"),"Yes","No")</f>
        <v>Yes</v>
      </c>
      <c r="M135" s="43">
        <f t="shared" si="53"/>
        <v>2.2479999999999999E-4</v>
      </c>
      <c r="N135" s="43">
        <f t="shared" si="54"/>
        <v>2.2446330504243632E-4</v>
      </c>
      <c r="O135" s="43" t="str">
        <f t="shared" si="55"/>
        <v>Up to $10</v>
      </c>
      <c r="P135" s="43">
        <f t="shared" si="56"/>
        <v>3.3669495756366899E-7</v>
      </c>
      <c r="Q135" s="43">
        <f t="shared" si="57"/>
        <v>-1.5E-3</v>
      </c>
      <c r="R135" s="43" t="str">
        <f t="shared" si="58"/>
        <v>$0-$5</v>
      </c>
      <c r="S135" s="45" t="str">
        <f t="shared" ref="S135:S136" si="60">IF(M135&lt;=0.05,"$0-$0.05",IF(M135&lt;=0.5,"$0.05-$0.5",IF(M135&lt;=5,"$0.5-$5",IF(M135&lt;=50,"$5-$50","&gt;$50"))))</f>
        <v>$0-$0.05</v>
      </c>
    </row>
    <row r="136" spans="1:19" x14ac:dyDescent="0.35">
      <c r="A136" s="43" t="s">
        <v>99</v>
      </c>
      <c r="B136" s="43" t="s">
        <v>295</v>
      </c>
      <c r="C136" s="43" t="s">
        <v>484</v>
      </c>
      <c r="D136" s="44">
        <v>2.0000000000000001E-4</v>
      </c>
      <c r="E136" s="43">
        <f>D136</f>
        <v>2.0000000000000001E-4</v>
      </c>
      <c r="F136" s="43">
        <f t="shared" si="51"/>
        <v>-2.0000000000000001E-4</v>
      </c>
      <c r="G136" s="43">
        <f t="shared" si="52"/>
        <v>2.0000000000000001E-4</v>
      </c>
      <c r="H136" s="43" t="s">
        <v>684</v>
      </c>
      <c r="I136" s="43" t="s">
        <v>844</v>
      </c>
      <c r="J136" s="43">
        <f>IFERROR(VALUE(SUBSTITUTE(SUBSTITUTE(Table1[[#This Row],[Volume (24h) USD]],"$",""),",","")),0)</f>
        <v>191600</v>
      </c>
      <c r="K136" s="43" t="s">
        <v>1037</v>
      </c>
      <c r="L136" s="43" t="str">
        <f>IF(OR(LEFT(Table1[[#This Row],[Coin Name]],1)="A",LEFT(Table1[[#This Row],[Coin Name]],1)="E",LEFT(Table1[[#This Row],[Coin Name]],1)="I",LEFT(Table1[[#This Row],[Coin Name]],1)="O",LEFT(Table1[[#This Row],[Coin Name]],1)="U",LEFT(Table1[[#This Row],[Coin Name]],1)="B",LEFT(Table1[[#This Row],[Coin Name]],1)="C",LEFT(Table1[[#This Row],[Coin Name]],1)="D"),"Yes","No")</f>
        <v>Yes</v>
      </c>
      <c r="M136" s="43">
        <f t="shared" si="53"/>
        <v>5.3610999999999999E-2</v>
      </c>
      <c r="N136" s="43">
        <f t="shared" si="54"/>
        <v>5.3600279944011196E-2</v>
      </c>
      <c r="O136" s="43" t="str">
        <f t="shared" si="55"/>
        <v>Up to $10</v>
      </c>
      <c r="P136" s="43">
        <f t="shared" si="56"/>
        <v>1.0720055988802657E-5</v>
      </c>
      <c r="Q136" s="43">
        <f t="shared" si="57"/>
        <v>-2.0000000000000001E-4</v>
      </c>
      <c r="R136" s="43" t="str">
        <f t="shared" si="58"/>
        <v>$0-$5</v>
      </c>
      <c r="S136" s="45" t="str">
        <f t="shared" si="60"/>
        <v>$0.05-$0.5</v>
      </c>
    </row>
    <row r="137" spans="1:19" x14ac:dyDescent="0.35">
      <c r="A137" s="43" t="s">
        <v>142</v>
      </c>
      <c r="B137" s="43" t="s">
        <v>336</v>
      </c>
      <c r="C137" s="43" t="s">
        <v>527</v>
      </c>
      <c r="D137" s="44">
        <v>2E-3</v>
      </c>
      <c r="E137" s="43">
        <f>D137</f>
        <v>2E-3</v>
      </c>
      <c r="F137" s="43">
        <f t="shared" si="51"/>
        <v>-2E-3</v>
      </c>
      <c r="G137" s="43">
        <f t="shared" si="52"/>
        <v>2E-3</v>
      </c>
      <c r="H137" s="43" t="s">
        <v>717</v>
      </c>
      <c r="I137" s="43" t="s">
        <v>885</v>
      </c>
      <c r="J137" s="43">
        <f>IFERROR(VALUE(SUBSTITUTE(SUBSTITUTE(Table1[[#This Row],[Volume (24h) USD]],"$",""),",","")),0)</f>
        <v>432080</v>
      </c>
      <c r="K137" s="43" t="s">
        <v>1080</v>
      </c>
      <c r="L137" s="43" t="str">
        <f>IF(OR(LEFT(Table1[[#This Row],[Coin Name]],1)="A",LEFT(Table1[[#This Row],[Coin Name]],1)="E",LEFT(Table1[[#This Row],[Coin Name]],1)="I",LEFT(Table1[[#This Row],[Coin Name]],1)="O",LEFT(Table1[[#This Row],[Coin Name]],1)="U",LEFT(Table1[[#This Row],[Coin Name]],1)="B",LEFT(Table1[[#This Row],[Coin Name]],1)="C",LEFT(Table1[[#This Row],[Coin Name]],1)="D"),"Yes","No")</f>
        <v>No</v>
      </c>
      <c r="M137" s="43">
        <f t="shared" si="53"/>
        <v>1.011E-3</v>
      </c>
      <c r="N137" s="43">
        <f t="shared" si="54"/>
        <v>1.0089820359281438E-3</v>
      </c>
      <c r="O137" s="43" t="str">
        <f t="shared" si="55"/>
        <v>Up to $10</v>
      </c>
      <c r="P137" s="43">
        <f t="shared" si="56"/>
        <v>2.0179640718561917E-6</v>
      </c>
      <c r="Q137" s="43">
        <f t="shared" si="57"/>
        <v>-2E-3</v>
      </c>
      <c r="R137" s="43" t="str">
        <f t="shared" si="58"/>
        <v>$0-$5</v>
      </c>
      <c r="S137" s="45" t="str">
        <f t="shared" si="59"/>
        <v>&gt;$50</v>
      </c>
    </row>
    <row r="138" spans="1:19" x14ac:dyDescent="0.35">
      <c r="A138" s="43" t="s">
        <v>129</v>
      </c>
      <c r="B138" s="43" t="s">
        <v>323</v>
      </c>
      <c r="C138" s="43" t="s">
        <v>514</v>
      </c>
      <c r="D138" s="44">
        <v>2.5000000000000001E-3</v>
      </c>
      <c r="E138" s="43">
        <f>D138</f>
        <v>2.5000000000000001E-3</v>
      </c>
      <c r="F138" s="43">
        <f t="shared" si="51"/>
        <v>-2.5000000000000001E-3</v>
      </c>
      <c r="G138" s="43">
        <f t="shared" si="52"/>
        <v>2.5000000000000001E-3</v>
      </c>
      <c r="H138" s="43" t="s">
        <v>706</v>
      </c>
      <c r="I138" s="43" t="s">
        <v>873</v>
      </c>
      <c r="J138" s="43">
        <f>IFERROR(VALUE(SUBSTITUTE(SUBSTITUTE(Table1[[#This Row],[Volume (24h) USD]],"$",""),",","")),0)</f>
        <v>191443</v>
      </c>
      <c r="K138" s="43" t="s">
        <v>1067</v>
      </c>
      <c r="L138" s="43" t="str">
        <f>IF(OR(LEFT(Table1[[#This Row],[Coin Name]],1)="A",LEFT(Table1[[#This Row],[Coin Name]],1)="E",LEFT(Table1[[#This Row],[Coin Name]],1)="I",LEFT(Table1[[#This Row],[Coin Name]],1)="O",LEFT(Table1[[#This Row],[Coin Name]],1)="U",LEFT(Table1[[#This Row],[Coin Name]],1)="B",LEFT(Table1[[#This Row],[Coin Name]],1)="C",LEFT(Table1[[#This Row],[Coin Name]],1)="D"),"Yes","No")</f>
        <v>Yes</v>
      </c>
      <c r="M138" s="43">
        <f t="shared" si="53"/>
        <v>4.7939999999999997E-3</v>
      </c>
      <c r="N138" s="43">
        <f t="shared" si="54"/>
        <v>4.7820448877805488E-3</v>
      </c>
      <c r="O138" s="43" t="str">
        <f t="shared" si="55"/>
        <v>Up to $10</v>
      </c>
      <c r="P138" s="43">
        <f t="shared" si="56"/>
        <v>1.1955112219450871E-5</v>
      </c>
      <c r="Q138" s="43">
        <f t="shared" si="57"/>
        <v>-2.5000000000000001E-3</v>
      </c>
      <c r="R138" s="43" t="str">
        <f t="shared" si="58"/>
        <v>$0-$5</v>
      </c>
      <c r="S138" s="45" t="str">
        <f t="shared" ref="S138:S139" si="61">IF(M138&lt;=0.05,"$0-$0.05",IF(M138&lt;=0.5,"$0.05-$0.5",IF(M138&lt;=5,"$0.5-$5",IF(M138&lt;=50,"$5-$50","&gt;$50"))))</f>
        <v>$0-$0.05</v>
      </c>
    </row>
    <row r="139" spans="1:19" x14ac:dyDescent="0.35">
      <c r="A139" s="43" t="s">
        <v>172</v>
      </c>
      <c r="B139" s="43" t="s">
        <v>363</v>
      </c>
      <c r="C139" s="43" t="s">
        <v>557</v>
      </c>
      <c r="D139" s="44">
        <v>1.1000000000000001E-3</v>
      </c>
      <c r="E139" s="43">
        <f>D139</f>
        <v>1.1000000000000001E-3</v>
      </c>
      <c r="F139" s="43">
        <f t="shared" si="51"/>
        <v>-1.1000000000000001E-3</v>
      </c>
      <c r="G139" s="43">
        <f t="shared" si="52"/>
        <v>1.1000000000000001E-3</v>
      </c>
      <c r="H139" s="43" t="s">
        <v>737</v>
      </c>
      <c r="I139" s="43" t="s">
        <v>914</v>
      </c>
      <c r="J139" s="43">
        <f>IFERROR(VALUE(SUBSTITUTE(SUBSTITUTE(Table1[[#This Row],[Volume (24h) USD]],"$",""),",","")),0)</f>
        <v>174927</v>
      </c>
      <c r="K139" s="43" t="s">
        <v>1109</v>
      </c>
      <c r="L139" s="43" t="str">
        <f>IF(OR(LEFT(Table1[[#This Row],[Coin Name]],1)="A",LEFT(Table1[[#This Row],[Coin Name]],1)="E",LEFT(Table1[[#This Row],[Coin Name]],1)="I",LEFT(Table1[[#This Row],[Coin Name]],1)="O",LEFT(Table1[[#This Row],[Coin Name]],1)="U",LEFT(Table1[[#This Row],[Coin Name]],1)="B",LEFT(Table1[[#This Row],[Coin Name]],1)="C",LEFT(Table1[[#This Row],[Coin Name]],1)="D"),"Yes","No")</f>
        <v>Yes</v>
      </c>
      <c r="M139" s="43">
        <f t="shared" si="53"/>
        <v>4.8439999999999997E-2</v>
      </c>
      <c r="N139" s="43">
        <f t="shared" si="54"/>
        <v>4.8386774547997197E-2</v>
      </c>
      <c r="O139" s="43" t="str">
        <f t="shared" si="55"/>
        <v>Up to $10</v>
      </c>
      <c r="P139" s="43">
        <f t="shared" si="56"/>
        <v>5.3225452002800266E-5</v>
      </c>
      <c r="Q139" s="43">
        <f t="shared" si="57"/>
        <v>-1.1000000000000001E-3</v>
      </c>
      <c r="R139" s="43" t="str">
        <f t="shared" si="58"/>
        <v>$0-$5</v>
      </c>
      <c r="S139" s="45" t="str">
        <f t="shared" si="61"/>
        <v>$0-$0.05</v>
      </c>
    </row>
    <row r="140" spans="1:19" x14ac:dyDescent="0.35">
      <c r="A140" s="43" t="s">
        <v>145</v>
      </c>
      <c r="B140" s="43" t="s">
        <v>339</v>
      </c>
      <c r="C140" s="43" t="s">
        <v>530</v>
      </c>
      <c r="D140" s="44">
        <v>1E-4</v>
      </c>
      <c r="E140" s="43">
        <f>D140</f>
        <v>1E-4</v>
      </c>
      <c r="F140" s="43">
        <f t="shared" si="51"/>
        <v>-1E-4</v>
      </c>
      <c r="G140" s="43">
        <f t="shared" si="52"/>
        <v>1E-4</v>
      </c>
      <c r="H140" s="43" t="s">
        <v>718</v>
      </c>
      <c r="I140" s="43" t="s">
        <v>888</v>
      </c>
      <c r="J140" s="43">
        <f>IFERROR(VALUE(SUBSTITUTE(SUBSTITUTE(Table1[[#This Row],[Volume (24h) USD]],"$",""),",","")),0)</f>
        <v>392111</v>
      </c>
      <c r="K140" s="43" t="s">
        <v>1083</v>
      </c>
      <c r="L140" s="43" t="str">
        <f>IF(OR(LEFT(Table1[[#This Row],[Coin Name]],1)="A",LEFT(Table1[[#This Row],[Coin Name]],1)="E",LEFT(Table1[[#This Row],[Coin Name]],1)="I",LEFT(Table1[[#This Row],[Coin Name]],1)="O",LEFT(Table1[[#This Row],[Coin Name]],1)="U",LEFT(Table1[[#This Row],[Coin Name]],1)="B",LEFT(Table1[[#This Row],[Coin Name]],1)="C",LEFT(Table1[[#This Row],[Coin Name]],1)="D"),"Yes","No")</f>
        <v>No</v>
      </c>
      <c r="M140" s="43">
        <f t="shared" si="53"/>
        <v>1.885E-3</v>
      </c>
      <c r="N140" s="43">
        <f t="shared" si="54"/>
        <v>1.8848115188481152E-3</v>
      </c>
      <c r="O140" s="43" t="str">
        <f t="shared" si="55"/>
        <v>Up to $10</v>
      </c>
      <c r="P140" s="43">
        <f t="shared" si="56"/>
        <v>1.8848115188475206E-7</v>
      </c>
      <c r="Q140" s="43">
        <f t="shared" si="57"/>
        <v>-1E-4</v>
      </c>
      <c r="R140" s="43" t="str">
        <f t="shared" si="58"/>
        <v>$0-$5</v>
      </c>
      <c r="S140" s="45" t="str">
        <f t="shared" si="59"/>
        <v>&gt;$50</v>
      </c>
    </row>
    <row r="141" spans="1:19" x14ac:dyDescent="0.35">
      <c r="A141" s="43" t="s">
        <v>158</v>
      </c>
      <c r="B141" s="43" t="s">
        <v>350</v>
      </c>
      <c r="C141" s="43" t="s">
        <v>543</v>
      </c>
      <c r="D141" s="44">
        <v>3.7000000000000002E-3</v>
      </c>
      <c r="E141" s="43">
        <f>D141</f>
        <v>3.7000000000000002E-3</v>
      </c>
      <c r="F141" s="43">
        <f t="shared" si="51"/>
        <v>-3.7000000000000002E-3</v>
      </c>
      <c r="G141" s="43">
        <f t="shared" si="52"/>
        <v>3.7000000000000002E-3</v>
      </c>
      <c r="H141" s="43" t="s">
        <v>729</v>
      </c>
      <c r="I141" s="43" t="s">
        <v>901</v>
      </c>
      <c r="J141" s="43">
        <f>IFERROR(VALUE(SUBSTITUTE(SUBSTITUTE(Table1[[#This Row],[Volume (24h) USD]],"$",""),",","")),0)</f>
        <v>157680</v>
      </c>
      <c r="K141" s="43" t="s">
        <v>1096</v>
      </c>
      <c r="L141" s="43" t="str">
        <f>IF(OR(LEFT(Table1[[#This Row],[Coin Name]],1)="A",LEFT(Table1[[#This Row],[Coin Name]],1)="E",LEFT(Table1[[#This Row],[Coin Name]],1)="I",LEFT(Table1[[#This Row],[Coin Name]],1)="O",LEFT(Table1[[#This Row],[Coin Name]],1)="U",LEFT(Table1[[#This Row],[Coin Name]],1)="B",LEFT(Table1[[#This Row],[Coin Name]],1)="C",LEFT(Table1[[#This Row],[Coin Name]],1)="D"),"Yes","No")</f>
        <v>Yes</v>
      </c>
      <c r="M141" s="43">
        <f t="shared" si="53"/>
        <v>2.8370000000000001E-5</v>
      </c>
      <c r="N141" s="43">
        <f t="shared" si="54"/>
        <v>2.8265417953571784E-5</v>
      </c>
      <c r="O141" s="43" t="str">
        <f t="shared" si="55"/>
        <v>Up to $10</v>
      </c>
      <c r="P141" s="43">
        <f t="shared" si="56"/>
        <v>1.0458204642821678E-7</v>
      </c>
      <c r="Q141" s="43">
        <f t="shared" si="57"/>
        <v>-3.7000000000000002E-3</v>
      </c>
      <c r="R141" s="43" t="str">
        <f t="shared" si="58"/>
        <v>$0-$5</v>
      </c>
      <c r="S141" s="45" t="str">
        <f t="shared" ref="S141:S142" si="62">IF(M141&lt;=0.05,"$0-$0.05",IF(M141&lt;=0.5,"$0.05-$0.5",IF(M141&lt;=5,"$0.5-$5",IF(M141&lt;=50,"$5-$50","&gt;$50"))))</f>
        <v>$0-$0.05</v>
      </c>
    </row>
    <row r="142" spans="1:19" x14ac:dyDescent="0.35">
      <c r="A142" s="43" t="s">
        <v>164</v>
      </c>
      <c r="B142" s="43" t="s">
        <v>356</v>
      </c>
      <c r="C142" s="43" t="s">
        <v>549</v>
      </c>
      <c r="D142" s="44">
        <v>1.61E-2</v>
      </c>
      <c r="E142" s="43">
        <f>D142</f>
        <v>1.61E-2</v>
      </c>
      <c r="F142" s="43">
        <f t="shared" si="51"/>
        <v>-1.61E-2</v>
      </c>
      <c r="G142" s="43">
        <f t="shared" si="52"/>
        <v>1.61E-2</v>
      </c>
      <c r="H142" s="43" t="s">
        <v>731</v>
      </c>
      <c r="I142" s="43" t="s">
        <v>907</v>
      </c>
      <c r="J142" s="43">
        <f>IFERROR(VALUE(SUBSTITUTE(SUBSTITUTE(Table1[[#This Row],[Volume (24h) USD]],"$",""),",","")),0)</f>
        <v>155287</v>
      </c>
      <c r="K142" s="43" t="s">
        <v>1102</v>
      </c>
      <c r="L142" s="43" t="str">
        <f>IF(OR(LEFT(Table1[[#This Row],[Coin Name]],1)="A",LEFT(Table1[[#This Row],[Coin Name]],1)="E",LEFT(Table1[[#This Row],[Coin Name]],1)="I",LEFT(Table1[[#This Row],[Coin Name]],1)="O",LEFT(Table1[[#This Row],[Coin Name]],1)="U",LEFT(Table1[[#This Row],[Coin Name]],1)="B",LEFT(Table1[[#This Row],[Coin Name]],1)="C",LEFT(Table1[[#This Row],[Coin Name]],1)="D"),"Yes","No")</f>
        <v>Yes</v>
      </c>
      <c r="M142" s="43">
        <f t="shared" si="53"/>
        <v>1.06E-2</v>
      </c>
      <c r="N142" s="43">
        <f t="shared" si="54"/>
        <v>1.0432044090148607E-2</v>
      </c>
      <c r="O142" s="43" t="str">
        <f t="shared" si="55"/>
        <v>Up to $10</v>
      </c>
      <c r="P142" s="43">
        <f t="shared" si="56"/>
        <v>1.6795590985139303E-4</v>
      </c>
      <c r="Q142" s="43">
        <f t="shared" si="57"/>
        <v>-1.61E-2</v>
      </c>
      <c r="R142" s="43" t="str">
        <f t="shared" si="58"/>
        <v>$0-$5</v>
      </c>
      <c r="S142" s="45" t="str">
        <f t="shared" si="62"/>
        <v>$0-$0.05</v>
      </c>
    </row>
    <row r="143" spans="1:19" x14ac:dyDescent="0.35">
      <c r="A143" s="43" t="s">
        <v>148</v>
      </c>
      <c r="B143" s="43" t="s">
        <v>342</v>
      </c>
      <c r="C143" s="43" t="s">
        <v>533</v>
      </c>
      <c r="D143" s="44">
        <v>4.6399999999999997E-2</v>
      </c>
      <c r="E143" s="43">
        <f>D143</f>
        <v>4.6399999999999997E-2</v>
      </c>
      <c r="F143" s="43">
        <f t="shared" si="51"/>
        <v>-4.6399999999999997E-2</v>
      </c>
      <c r="G143" s="43">
        <f t="shared" si="52"/>
        <v>4.6399999999999997E-2</v>
      </c>
      <c r="H143" s="43" t="s">
        <v>721</v>
      </c>
      <c r="I143" s="43" t="s">
        <v>891</v>
      </c>
      <c r="J143" s="43">
        <f>IFERROR(VALUE(SUBSTITUTE(SUBSTITUTE(Table1[[#This Row],[Volume (24h) USD]],"$",""),",","")),0)</f>
        <v>168650</v>
      </c>
      <c r="K143" s="43" t="s">
        <v>1086</v>
      </c>
      <c r="L143" s="43" t="str">
        <f>IF(OR(LEFT(Table1[[#This Row],[Coin Name]],1)="A",LEFT(Table1[[#This Row],[Coin Name]],1)="E",LEFT(Table1[[#This Row],[Coin Name]],1)="I",LEFT(Table1[[#This Row],[Coin Name]],1)="O",LEFT(Table1[[#This Row],[Coin Name]],1)="U",LEFT(Table1[[#This Row],[Coin Name]],1)="B",LEFT(Table1[[#This Row],[Coin Name]],1)="C",LEFT(Table1[[#This Row],[Coin Name]],1)="D"),"Yes","No")</f>
        <v>No</v>
      </c>
      <c r="M143" s="43">
        <f t="shared" si="53"/>
        <v>5.1470000000000002E-2</v>
      </c>
      <c r="N143" s="43">
        <f t="shared" si="54"/>
        <v>4.918769113149847E-2</v>
      </c>
      <c r="O143" s="43" t="str">
        <f t="shared" si="55"/>
        <v>Up to $10</v>
      </c>
      <c r="P143" s="43">
        <f t="shared" si="56"/>
        <v>2.2823088685015314E-3</v>
      </c>
      <c r="Q143" s="43">
        <f t="shared" si="57"/>
        <v>-4.6399999999999997E-2</v>
      </c>
      <c r="R143" s="43" t="str">
        <f t="shared" si="58"/>
        <v>$0-$5</v>
      </c>
      <c r="S143" s="45" t="str">
        <f t="shared" si="59"/>
        <v>&gt;$50</v>
      </c>
    </row>
    <row r="144" spans="1:19" x14ac:dyDescent="0.35">
      <c r="A144" s="43" t="s">
        <v>149</v>
      </c>
      <c r="B144" s="43" t="s">
        <v>343</v>
      </c>
      <c r="C144" s="43" t="s">
        <v>534</v>
      </c>
      <c r="D144" s="44">
        <v>5.7000000000000002E-3</v>
      </c>
      <c r="E144" s="43">
        <f>D144</f>
        <v>5.7000000000000002E-3</v>
      </c>
      <c r="F144" s="43">
        <f t="shared" si="51"/>
        <v>-5.7000000000000002E-3</v>
      </c>
      <c r="G144" s="43">
        <f t="shared" si="52"/>
        <v>5.7000000000000002E-3</v>
      </c>
      <c r="H144" s="43" t="s">
        <v>722</v>
      </c>
      <c r="I144" s="43" t="s">
        <v>892</v>
      </c>
      <c r="J144" s="43">
        <f>IFERROR(VALUE(SUBSTITUTE(SUBSTITUTE(Table1[[#This Row],[Volume (24h) USD]],"$",""),",","")),0)</f>
        <v>4760489</v>
      </c>
      <c r="K144" s="43" t="s">
        <v>1087</v>
      </c>
      <c r="L144" s="43" t="str">
        <f>IF(OR(LEFT(Table1[[#This Row],[Coin Name]],1)="A",LEFT(Table1[[#This Row],[Coin Name]],1)="E",LEFT(Table1[[#This Row],[Coin Name]],1)="I",LEFT(Table1[[#This Row],[Coin Name]],1)="O",LEFT(Table1[[#This Row],[Coin Name]],1)="U",LEFT(Table1[[#This Row],[Coin Name]],1)="B",LEFT(Table1[[#This Row],[Coin Name]],1)="C",LEFT(Table1[[#This Row],[Coin Name]],1)="D"),"Yes","No")</f>
        <v>No</v>
      </c>
      <c r="M144" s="43">
        <f t="shared" si="53"/>
        <v>1.908E-2</v>
      </c>
      <c r="N144" s="43">
        <f t="shared" si="54"/>
        <v>1.8971860395744257E-2</v>
      </c>
      <c r="O144" s="43" t="str">
        <f t="shared" si="55"/>
        <v>Up to $10</v>
      </c>
      <c r="P144" s="43">
        <f t="shared" si="56"/>
        <v>1.0813960425574282E-4</v>
      </c>
      <c r="Q144" s="43">
        <f t="shared" si="57"/>
        <v>-5.7000000000000002E-3</v>
      </c>
      <c r="R144" s="43" t="str">
        <f t="shared" si="58"/>
        <v>$0-$5</v>
      </c>
      <c r="S144" s="45" t="str">
        <f t="shared" si="59"/>
        <v>&gt;$50</v>
      </c>
    </row>
    <row r="145" spans="1:19" x14ac:dyDescent="0.35">
      <c r="A145" s="43" t="s">
        <v>150</v>
      </c>
      <c r="B145" s="43" t="s">
        <v>344</v>
      </c>
      <c r="C145" s="43" t="s">
        <v>535</v>
      </c>
      <c r="D145" s="44">
        <v>2.9999999999999997E-4</v>
      </c>
      <c r="E145" s="43">
        <f>D145</f>
        <v>2.9999999999999997E-4</v>
      </c>
      <c r="F145" s="43">
        <f t="shared" si="51"/>
        <v>-2.9999999999999997E-4</v>
      </c>
      <c r="G145" s="43">
        <f t="shared" si="52"/>
        <v>2.9999999999999997E-4</v>
      </c>
      <c r="H145" s="43" t="s">
        <v>723</v>
      </c>
      <c r="I145" s="43" t="s">
        <v>893</v>
      </c>
      <c r="J145" s="43">
        <f>IFERROR(VALUE(SUBSTITUTE(SUBSTITUTE(Table1[[#This Row],[Volume (24h) USD]],"$",""),",","")),0)</f>
        <v>4951893</v>
      </c>
      <c r="K145" s="43" t="s">
        <v>1088</v>
      </c>
      <c r="L145" s="43" t="str">
        <f>IF(OR(LEFT(Table1[[#This Row],[Coin Name]],1)="A",LEFT(Table1[[#This Row],[Coin Name]],1)="E",LEFT(Table1[[#This Row],[Coin Name]],1)="I",LEFT(Table1[[#This Row],[Coin Name]],1)="O",LEFT(Table1[[#This Row],[Coin Name]],1)="U",LEFT(Table1[[#This Row],[Coin Name]],1)="B",LEFT(Table1[[#This Row],[Coin Name]],1)="C",LEFT(Table1[[#This Row],[Coin Name]],1)="D"),"Yes","No")</f>
        <v>No</v>
      </c>
      <c r="M145" s="43">
        <f t="shared" si="53"/>
        <v>1.9529999999999999E-2</v>
      </c>
      <c r="N145" s="43">
        <f t="shared" si="54"/>
        <v>1.9524142757172847E-2</v>
      </c>
      <c r="O145" s="43" t="str">
        <f t="shared" si="55"/>
        <v>Up to $10</v>
      </c>
      <c r="P145" s="43">
        <f t="shared" si="56"/>
        <v>5.8572428271522203E-6</v>
      </c>
      <c r="Q145" s="43">
        <f t="shared" si="57"/>
        <v>-2.9999999999999997E-4</v>
      </c>
      <c r="R145" s="43" t="str">
        <f t="shared" si="58"/>
        <v>$0-$5</v>
      </c>
      <c r="S145" s="45" t="str">
        <f t="shared" si="59"/>
        <v>&gt;$50</v>
      </c>
    </row>
    <row r="146" spans="1:19" x14ac:dyDescent="0.35">
      <c r="A146" s="43" t="s">
        <v>151</v>
      </c>
      <c r="B146" s="43" t="s">
        <v>151</v>
      </c>
      <c r="C146" s="43" t="s">
        <v>536</v>
      </c>
      <c r="D146" s="44">
        <v>1.04E-2</v>
      </c>
      <c r="E146" s="43">
        <f>D146</f>
        <v>1.04E-2</v>
      </c>
      <c r="F146" s="43">
        <f t="shared" si="51"/>
        <v>-1.04E-2</v>
      </c>
      <c r="G146" s="43">
        <f t="shared" si="52"/>
        <v>1.04E-2</v>
      </c>
      <c r="H146" s="43" t="s">
        <v>724</v>
      </c>
      <c r="I146" s="43" t="s">
        <v>894</v>
      </c>
      <c r="J146" s="43">
        <f>IFERROR(VALUE(SUBSTITUTE(SUBSTITUTE(Table1[[#This Row],[Volume (24h) USD]],"$",""),",","")),0)</f>
        <v>727913</v>
      </c>
      <c r="K146" s="43" t="s">
        <v>1089</v>
      </c>
      <c r="L146" s="43" t="str">
        <f>IF(OR(LEFT(Table1[[#This Row],[Coin Name]],1)="A",LEFT(Table1[[#This Row],[Coin Name]],1)="E",LEFT(Table1[[#This Row],[Coin Name]],1)="I",LEFT(Table1[[#This Row],[Coin Name]],1)="O",LEFT(Table1[[#This Row],[Coin Name]],1)="U",LEFT(Table1[[#This Row],[Coin Name]],1)="B",LEFT(Table1[[#This Row],[Coin Name]],1)="C",LEFT(Table1[[#This Row],[Coin Name]],1)="D"),"Yes","No")</f>
        <v>No</v>
      </c>
      <c r="M146" s="43">
        <f t="shared" si="53"/>
        <v>5.3982000000000002E-2</v>
      </c>
      <c r="N146" s="43">
        <f t="shared" si="54"/>
        <v>5.3426365795724469E-2</v>
      </c>
      <c r="O146" s="43" t="str">
        <f t="shared" si="55"/>
        <v>Up to $10</v>
      </c>
      <c r="P146" s="43">
        <f t="shared" si="56"/>
        <v>5.5563420427553328E-4</v>
      </c>
      <c r="Q146" s="43">
        <f t="shared" si="57"/>
        <v>-1.04E-2</v>
      </c>
      <c r="R146" s="43" t="str">
        <f t="shared" si="58"/>
        <v>$0-$5</v>
      </c>
      <c r="S146" s="45" t="str">
        <f t="shared" si="59"/>
        <v>&gt;$50</v>
      </c>
    </row>
    <row r="147" spans="1:19" x14ac:dyDescent="0.35">
      <c r="A147" s="43" t="s">
        <v>152</v>
      </c>
      <c r="B147" s="43" t="s">
        <v>345</v>
      </c>
      <c r="C147" s="43" t="s">
        <v>537</v>
      </c>
      <c r="D147" s="44">
        <v>1.1999999999999999E-3</v>
      </c>
      <c r="E147" s="43">
        <f>D147</f>
        <v>1.1999999999999999E-3</v>
      </c>
      <c r="F147" s="43">
        <f t="shared" si="51"/>
        <v>-1.1999999999999999E-3</v>
      </c>
      <c r="G147" s="43">
        <f t="shared" si="52"/>
        <v>1.1999999999999999E-3</v>
      </c>
      <c r="H147" s="43" t="s">
        <v>725</v>
      </c>
      <c r="I147" s="43" t="s">
        <v>895</v>
      </c>
      <c r="J147" s="43">
        <f>IFERROR(VALUE(SUBSTITUTE(SUBSTITUTE(Table1[[#This Row],[Volume (24h) USD]],"$",""),",","")),0)</f>
        <v>49144</v>
      </c>
      <c r="K147" s="43" t="s">
        <v>1090</v>
      </c>
      <c r="L147" s="43" t="str">
        <f>IF(OR(LEFT(Table1[[#This Row],[Coin Name]],1)="A",LEFT(Table1[[#This Row],[Coin Name]],1)="E",LEFT(Table1[[#This Row],[Coin Name]],1)="I",LEFT(Table1[[#This Row],[Coin Name]],1)="O",LEFT(Table1[[#This Row],[Coin Name]],1)="U",LEFT(Table1[[#This Row],[Coin Name]],1)="B",LEFT(Table1[[#This Row],[Coin Name]],1)="C",LEFT(Table1[[#This Row],[Coin Name]],1)="D"),"Yes","No")</f>
        <v>No</v>
      </c>
      <c r="M147" s="43">
        <f t="shared" si="53"/>
        <v>2.34</v>
      </c>
      <c r="N147" s="43">
        <f t="shared" si="54"/>
        <v>2.337195365561326</v>
      </c>
      <c r="O147" s="43" t="str">
        <f t="shared" si="55"/>
        <v>Up to $10</v>
      </c>
      <c r="P147" s="43">
        <f t="shared" si="56"/>
        <v>2.8046344386738475E-3</v>
      </c>
      <c r="Q147" s="43">
        <f t="shared" si="57"/>
        <v>-1.1999999999999999E-3</v>
      </c>
      <c r="R147" s="43" t="str">
        <f t="shared" si="58"/>
        <v>$0-$5</v>
      </c>
      <c r="S147" s="45" t="str">
        <f t="shared" si="59"/>
        <v>&gt;$50</v>
      </c>
    </row>
    <row r="148" spans="1:19" x14ac:dyDescent="0.35">
      <c r="A148" s="43" t="s">
        <v>140</v>
      </c>
      <c r="B148" s="43" t="s">
        <v>334</v>
      </c>
      <c r="C148" s="43" t="s">
        <v>525</v>
      </c>
      <c r="D148" s="44">
        <v>2.2000000000000001E-3</v>
      </c>
      <c r="E148" s="43">
        <f>D148</f>
        <v>2.2000000000000001E-3</v>
      </c>
      <c r="F148" s="43">
        <f t="shared" si="51"/>
        <v>-2.2000000000000001E-3</v>
      </c>
      <c r="G148" s="43">
        <f t="shared" si="52"/>
        <v>2.2000000000000001E-3</v>
      </c>
      <c r="H148" s="43" t="s">
        <v>715</v>
      </c>
      <c r="I148" s="43" t="s">
        <v>883</v>
      </c>
      <c r="J148" s="43">
        <f>IFERROR(VALUE(SUBSTITUTE(SUBSTITUTE(Table1[[#This Row],[Volume (24h) USD]],"$",""),",","")),0)</f>
        <v>153889</v>
      </c>
      <c r="K148" s="43" t="s">
        <v>1078</v>
      </c>
      <c r="L148" s="43" t="str">
        <f>IF(OR(LEFT(Table1[[#This Row],[Coin Name]],1)="A",LEFT(Table1[[#This Row],[Coin Name]],1)="E",LEFT(Table1[[#This Row],[Coin Name]],1)="I",LEFT(Table1[[#This Row],[Coin Name]],1)="O",LEFT(Table1[[#This Row],[Coin Name]],1)="U",LEFT(Table1[[#This Row],[Coin Name]],1)="B",LEFT(Table1[[#This Row],[Coin Name]],1)="C",LEFT(Table1[[#This Row],[Coin Name]],1)="D"),"Yes","No")</f>
        <v>Yes</v>
      </c>
      <c r="M148" s="43">
        <f t="shared" si="53"/>
        <v>2.954E-2</v>
      </c>
      <c r="N148" s="43">
        <f t="shared" si="54"/>
        <v>2.9475154659748554E-2</v>
      </c>
      <c r="O148" s="43" t="str">
        <f t="shared" si="55"/>
        <v>Up to $10</v>
      </c>
      <c r="P148" s="43">
        <f t="shared" si="56"/>
        <v>6.4845340251445949E-5</v>
      </c>
      <c r="Q148" s="43">
        <f t="shared" si="57"/>
        <v>-2.2000000000000001E-3</v>
      </c>
      <c r="R148" s="43" t="str">
        <f t="shared" si="58"/>
        <v>$0-$5</v>
      </c>
      <c r="S148" s="45" t="str">
        <f t="shared" ref="S148:S149" si="63">IF(M148&lt;=0.05,"$0-$0.05",IF(M148&lt;=0.5,"$0.05-$0.5",IF(M148&lt;=5,"$0.5-$5",IF(M148&lt;=50,"$5-$50","&gt;$50"))))</f>
        <v>$0-$0.05</v>
      </c>
    </row>
    <row r="149" spans="1:19" x14ac:dyDescent="0.35">
      <c r="A149" s="43" t="s">
        <v>141</v>
      </c>
      <c r="B149" s="43" t="s">
        <v>335</v>
      </c>
      <c r="C149" s="43" t="s">
        <v>526</v>
      </c>
      <c r="D149" s="44">
        <v>3.5000000000000001E-3</v>
      </c>
      <c r="E149" s="43">
        <f>D149</f>
        <v>3.5000000000000001E-3</v>
      </c>
      <c r="F149" s="43">
        <f t="shared" si="51"/>
        <v>-3.5000000000000001E-3</v>
      </c>
      <c r="G149" s="43">
        <f t="shared" si="52"/>
        <v>3.5000000000000001E-3</v>
      </c>
      <c r="H149" s="43" t="s">
        <v>716</v>
      </c>
      <c r="I149" s="43" t="s">
        <v>884</v>
      </c>
      <c r="J149" s="43">
        <f>IFERROR(VALUE(SUBSTITUTE(SUBSTITUTE(Table1[[#This Row],[Volume (24h) USD]],"$",""),",","")),0)</f>
        <v>130770</v>
      </c>
      <c r="K149" s="43" t="s">
        <v>1079</v>
      </c>
      <c r="L149" s="43" t="str">
        <f>IF(OR(LEFT(Table1[[#This Row],[Coin Name]],1)="A",LEFT(Table1[[#This Row],[Coin Name]],1)="E",LEFT(Table1[[#This Row],[Coin Name]],1)="I",LEFT(Table1[[#This Row],[Coin Name]],1)="O",LEFT(Table1[[#This Row],[Coin Name]],1)="U",LEFT(Table1[[#This Row],[Coin Name]],1)="B",LEFT(Table1[[#This Row],[Coin Name]],1)="C",LEFT(Table1[[#This Row],[Coin Name]],1)="D"),"Yes","No")</f>
        <v>Yes</v>
      </c>
      <c r="M149" s="43">
        <f t="shared" si="53"/>
        <v>2.2859999999999998E-3</v>
      </c>
      <c r="N149" s="43">
        <f t="shared" si="54"/>
        <v>2.2780269058295961E-3</v>
      </c>
      <c r="O149" s="43" t="str">
        <f t="shared" si="55"/>
        <v>Up to $10</v>
      </c>
      <c r="P149" s="43">
        <f t="shared" si="56"/>
        <v>7.9730941704037744E-6</v>
      </c>
      <c r="Q149" s="43">
        <f t="shared" si="57"/>
        <v>-3.5000000000000001E-3</v>
      </c>
      <c r="R149" s="43" t="str">
        <f t="shared" si="58"/>
        <v>$0-$5</v>
      </c>
      <c r="S149" s="45" t="str">
        <f t="shared" si="63"/>
        <v>$0-$0.05</v>
      </c>
    </row>
    <row r="150" spans="1:19" x14ac:dyDescent="0.35">
      <c r="A150" s="43" t="s">
        <v>155</v>
      </c>
      <c r="B150" s="43" t="s">
        <v>348</v>
      </c>
      <c r="C150" s="43" t="s">
        <v>540</v>
      </c>
      <c r="D150" s="44">
        <v>1.72E-2</v>
      </c>
      <c r="E150" s="43">
        <f>D150</f>
        <v>1.72E-2</v>
      </c>
      <c r="F150" s="43">
        <f t="shared" si="51"/>
        <v>-1.72E-2</v>
      </c>
      <c r="G150" s="43">
        <f t="shared" si="52"/>
        <v>1.72E-2</v>
      </c>
      <c r="H150" s="43" t="s">
        <v>727</v>
      </c>
      <c r="I150" s="43" t="s">
        <v>898</v>
      </c>
      <c r="J150" s="43">
        <f>IFERROR(VALUE(SUBSTITUTE(SUBSTITUTE(Table1[[#This Row],[Volume (24h) USD]],"$",""),",","")),0)</f>
        <v>5822</v>
      </c>
      <c r="K150" s="43" t="s">
        <v>1093</v>
      </c>
      <c r="L150" s="43" t="str">
        <f>IF(OR(LEFT(Table1[[#This Row],[Coin Name]],1)="A",LEFT(Table1[[#This Row],[Coin Name]],1)="E",LEFT(Table1[[#This Row],[Coin Name]],1)="I",LEFT(Table1[[#This Row],[Coin Name]],1)="O",LEFT(Table1[[#This Row],[Coin Name]],1)="U",LEFT(Table1[[#This Row],[Coin Name]],1)="B",LEFT(Table1[[#This Row],[Coin Name]],1)="C",LEFT(Table1[[#This Row],[Coin Name]],1)="D"),"Yes","No")</f>
        <v>No</v>
      </c>
      <c r="M150" s="43">
        <f t="shared" si="53"/>
        <v>8.2830000000000001E-2</v>
      </c>
      <c r="N150" s="43">
        <f t="shared" si="54"/>
        <v>8.1429414077860793E-2</v>
      </c>
      <c r="O150" s="43" t="str">
        <f t="shared" si="55"/>
        <v>Up to $10</v>
      </c>
      <c r="P150" s="43">
        <f t="shared" si="56"/>
        <v>1.4005859221392081E-3</v>
      </c>
      <c r="Q150" s="43">
        <f t="shared" si="57"/>
        <v>-1.72E-2</v>
      </c>
      <c r="R150" s="43" t="str">
        <f t="shared" si="58"/>
        <v>$0-$5</v>
      </c>
      <c r="S150" s="45" t="str">
        <f t="shared" si="59"/>
        <v>&gt;$50</v>
      </c>
    </row>
    <row r="151" spans="1:19" x14ac:dyDescent="0.35">
      <c r="A151" s="43" t="s">
        <v>156</v>
      </c>
      <c r="B151" s="43" t="s">
        <v>156</v>
      </c>
      <c r="C151" s="43" t="s">
        <v>541</v>
      </c>
      <c r="D151" s="44">
        <v>6.7999999999999996E-3</v>
      </c>
      <c r="E151" s="43">
        <f>D151</f>
        <v>6.7999999999999996E-3</v>
      </c>
      <c r="F151" s="43">
        <f t="shared" si="51"/>
        <v>-6.7999999999999996E-3</v>
      </c>
      <c r="G151" s="43">
        <f t="shared" si="52"/>
        <v>6.7999999999999996E-3</v>
      </c>
      <c r="H151" s="43" t="s">
        <v>728</v>
      </c>
      <c r="I151" s="43" t="s">
        <v>899</v>
      </c>
      <c r="J151" s="43">
        <f>IFERROR(VALUE(SUBSTITUTE(SUBSTITUTE(Table1[[#This Row],[Volume (24h) USD]],"$",""),",","")),0)</f>
        <v>85411</v>
      </c>
      <c r="K151" s="43" t="s">
        <v>1094</v>
      </c>
      <c r="L151" s="43" t="str">
        <f>IF(OR(LEFT(Table1[[#This Row],[Coin Name]],1)="A",LEFT(Table1[[#This Row],[Coin Name]],1)="E",LEFT(Table1[[#This Row],[Coin Name]],1)="I",LEFT(Table1[[#This Row],[Coin Name]],1)="O",LEFT(Table1[[#This Row],[Coin Name]],1)="U",LEFT(Table1[[#This Row],[Coin Name]],1)="B",LEFT(Table1[[#This Row],[Coin Name]],1)="C",LEFT(Table1[[#This Row],[Coin Name]],1)="D"),"Yes","No")</f>
        <v>No</v>
      </c>
      <c r="M151" s="43">
        <f t="shared" si="53"/>
        <v>0.53049999999999997</v>
      </c>
      <c r="N151" s="43">
        <f t="shared" si="54"/>
        <v>0.52691696464044502</v>
      </c>
      <c r="O151" s="43" t="str">
        <f t="shared" si="55"/>
        <v>Up to $10</v>
      </c>
      <c r="P151" s="43">
        <f t="shared" si="56"/>
        <v>3.5830353595549536E-3</v>
      </c>
      <c r="Q151" s="43">
        <f t="shared" si="57"/>
        <v>-6.7999999999999996E-3</v>
      </c>
      <c r="R151" s="43" t="str">
        <f t="shared" si="58"/>
        <v>$0-$5</v>
      </c>
      <c r="S151" s="45" t="str">
        <f t="shared" si="59"/>
        <v>&gt;$50</v>
      </c>
    </row>
    <row r="152" spans="1:19" x14ac:dyDescent="0.35">
      <c r="A152" s="43" t="s">
        <v>192</v>
      </c>
      <c r="B152" s="43" t="s">
        <v>379</v>
      </c>
      <c r="C152" s="43" t="s">
        <v>577</v>
      </c>
      <c r="D152" s="44">
        <v>1E-4</v>
      </c>
      <c r="E152" s="43">
        <f>D152</f>
        <v>1E-4</v>
      </c>
      <c r="F152" s="43">
        <f t="shared" si="51"/>
        <v>-1E-4</v>
      </c>
      <c r="G152" s="43">
        <f t="shared" si="52"/>
        <v>1E-4</v>
      </c>
      <c r="H152" s="43" t="s">
        <v>746</v>
      </c>
      <c r="I152" s="43" t="s">
        <v>933</v>
      </c>
      <c r="J152" s="43">
        <f>IFERROR(VALUE(SUBSTITUTE(SUBSTITUTE(Table1[[#This Row],[Volume (24h) USD]],"$",""),",","")),0)</f>
        <v>119741</v>
      </c>
      <c r="K152" s="43" t="s">
        <v>1073</v>
      </c>
      <c r="L152" s="43" t="str">
        <f>IF(OR(LEFT(Table1[[#This Row],[Coin Name]],1)="A",LEFT(Table1[[#This Row],[Coin Name]],1)="E",LEFT(Table1[[#This Row],[Coin Name]],1)="I",LEFT(Table1[[#This Row],[Coin Name]],1)="O",LEFT(Table1[[#This Row],[Coin Name]],1)="U",LEFT(Table1[[#This Row],[Coin Name]],1)="B",LEFT(Table1[[#This Row],[Coin Name]],1)="C",LEFT(Table1[[#This Row],[Coin Name]],1)="D"),"Yes","No")</f>
        <v>Yes</v>
      </c>
      <c r="M152" s="43">
        <f t="shared" si="53"/>
        <v>7.5139999999999998E-2</v>
      </c>
      <c r="N152" s="43">
        <f t="shared" si="54"/>
        <v>7.5132486751324862E-2</v>
      </c>
      <c r="O152" s="43" t="str">
        <f t="shared" si="55"/>
        <v>Up to $10</v>
      </c>
      <c r="P152" s="43">
        <f t="shared" si="56"/>
        <v>7.5132486751366967E-6</v>
      </c>
      <c r="Q152" s="43">
        <f t="shared" si="57"/>
        <v>-1E-4</v>
      </c>
      <c r="R152" s="43" t="str">
        <f t="shared" si="58"/>
        <v>$0-$5</v>
      </c>
      <c r="S152" s="45" t="str">
        <f t="shared" ref="S152:S157" si="64">IF(M152&lt;=0.05,"$0-$0.05",IF(M152&lt;=0.5,"$0.05-$0.5",IF(M152&lt;=5,"$0.5-$5",IF(M152&lt;=50,"$5-$50","&gt;$50"))))</f>
        <v>$0.05-$0.5</v>
      </c>
    </row>
    <row r="153" spans="1:19" x14ac:dyDescent="0.35">
      <c r="A153" s="43" t="s">
        <v>160</v>
      </c>
      <c r="B153" s="43" t="s">
        <v>352</v>
      </c>
      <c r="C153" s="43" t="s">
        <v>545</v>
      </c>
      <c r="D153" s="44">
        <v>1.18E-2</v>
      </c>
      <c r="E153" s="43">
        <f>D153</f>
        <v>1.18E-2</v>
      </c>
      <c r="F153" s="43">
        <f t="shared" si="51"/>
        <v>-1.18E-2</v>
      </c>
      <c r="G153" s="43">
        <f t="shared" si="52"/>
        <v>1.18E-2</v>
      </c>
      <c r="H153" s="43" t="s">
        <v>730</v>
      </c>
      <c r="I153" s="43" t="s">
        <v>903</v>
      </c>
      <c r="J153" s="43">
        <f>IFERROR(VALUE(SUBSTITUTE(SUBSTITUTE(Table1[[#This Row],[Volume (24h) USD]],"$",""),",","")),0)</f>
        <v>117948</v>
      </c>
      <c r="K153" s="43" t="s">
        <v>1098</v>
      </c>
      <c r="L153" s="43" t="str">
        <f>IF(OR(LEFT(Table1[[#This Row],[Coin Name]],1)="A",LEFT(Table1[[#This Row],[Coin Name]],1)="E",LEFT(Table1[[#This Row],[Coin Name]],1)="I",LEFT(Table1[[#This Row],[Coin Name]],1)="O",LEFT(Table1[[#This Row],[Coin Name]],1)="U",LEFT(Table1[[#This Row],[Coin Name]],1)="B",LEFT(Table1[[#This Row],[Coin Name]],1)="C",LEFT(Table1[[#This Row],[Coin Name]],1)="D"),"Yes","No")</f>
        <v>Yes</v>
      </c>
      <c r="M153" s="43">
        <f t="shared" si="53"/>
        <v>1.094E-2</v>
      </c>
      <c r="N153" s="43">
        <f t="shared" si="54"/>
        <v>1.0812413520458588E-2</v>
      </c>
      <c r="O153" s="43" t="str">
        <f t="shared" si="55"/>
        <v>Up to $10</v>
      </c>
      <c r="P153" s="43">
        <f t="shared" si="56"/>
        <v>1.275864795414125E-4</v>
      </c>
      <c r="Q153" s="43">
        <f t="shared" si="57"/>
        <v>-1.18E-2</v>
      </c>
      <c r="R153" s="43" t="str">
        <f t="shared" si="58"/>
        <v>$0-$5</v>
      </c>
      <c r="S153" s="45" t="str">
        <f t="shared" si="64"/>
        <v>$0-$0.05</v>
      </c>
    </row>
    <row r="154" spans="1:19" x14ac:dyDescent="0.35">
      <c r="A154" s="43" t="s">
        <v>191</v>
      </c>
      <c r="B154" s="43" t="s">
        <v>191</v>
      </c>
      <c r="C154" s="43" t="s">
        <v>576</v>
      </c>
      <c r="D154" s="44">
        <v>3.0999999999999999E-3</v>
      </c>
      <c r="E154" s="43">
        <f>D154</f>
        <v>3.0999999999999999E-3</v>
      </c>
      <c r="F154" s="43">
        <f t="shared" si="51"/>
        <v>-3.0999999999999999E-3</v>
      </c>
      <c r="G154" s="43">
        <f t="shared" si="52"/>
        <v>3.0999999999999999E-3</v>
      </c>
      <c r="H154" s="43" t="s">
        <v>746</v>
      </c>
      <c r="I154" s="43" t="s">
        <v>932</v>
      </c>
      <c r="J154" s="43">
        <f>IFERROR(VALUE(SUBSTITUTE(SUBSTITUTE(Table1[[#This Row],[Volume (24h) USD]],"$",""),",","")),0)</f>
        <v>115234</v>
      </c>
      <c r="K154" s="43" t="s">
        <v>1126</v>
      </c>
      <c r="L154" s="43" t="str">
        <f>IF(OR(LEFT(Table1[[#This Row],[Coin Name]],1)="A",LEFT(Table1[[#This Row],[Coin Name]],1)="E",LEFT(Table1[[#This Row],[Coin Name]],1)="I",LEFT(Table1[[#This Row],[Coin Name]],1)="O",LEFT(Table1[[#This Row],[Coin Name]],1)="U",LEFT(Table1[[#This Row],[Coin Name]],1)="B",LEFT(Table1[[#This Row],[Coin Name]],1)="C",LEFT(Table1[[#This Row],[Coin Name]],1)="D"),"Yes","No")</f>
        <v>Yes</v>
      </c>
      <c r="M154" s="43">
        <f t="shared" si="53"/>
        <v>3.4099999999999998E-3</v>
      </c>
      <c r="N154" s="43">
        <f t="shared" si="54"/>
        <v>3.3994616688266368E-3</v>
      </c>
      <c r="O154" s="43" t="str">
        <f t="shared" si="55"/>
        <v>Up to $10</v>
      </c>
      <c r="P154" s="43">
        <f t="shared" si="56"/>
        <v>1.0538331173363079E-5</v>
      </c>
      <c r="Q154" s="43">
        <f t="shared" si="57"/>
        <v>-3.0999999999999999E-3</v>
      </c>
      <c r="R154" s="43" t="str">
        <f t="shared" si="58"/>
        <v>$0-$5</v>
      </c>
      <c r="S154" s="45" t="str">
        <f t="shared" si="64"/>
        <v>$0-$0.05</v>
      </c>
    </row>
    <row r="155" spans="1:19" x14ac:dyDescent="0.35">
      <c r="A155" s="43" t="s">
        <v>187</v>
      </c>
      <c r="B155" s="43" t="s">
        <v>375</v>
      </c>
      <c r="C155" s="43" t="s">
        <v>572</v>
      </c>
      <c r="D155" s="44">
        <v>0.18790000000000001</v>
      </c>
      <c r="E155" s="43">
        <f>D155</f>
        <v>0.18790000000000001</v>
      </c>
      <c r="F155" s="43">
        <f t="shared" si="51"/>
        <v>-0.18790000000000001</v>
      </c>
      <c r="G155" s="43">
        <f t="shared" si="52"/>
        <v>0.18790000000000001</v>
      </c>
      <c r="H155" s="43" t="s">
        <v>744</v>
      </c>
      <c r="I155" s="43" t="s">
        <v>928</v>
      </c>
      <c r="J155" s="43">
        <f>IFERROR(VALUE(SUBSTITUTE(SUBSTITUTE(Table1[[#This Row],[Volume (24h) USD]],"$",""),",","")),0)</f>
        <v>106039</v>
      </c>
      <c r="K155" s="43" t="s">
        <v>1122</v>
      </c>
      <c r="L155" s="43" t="str">
        <f>IF(OR(LEFT(Table1[[#This Row],[Coin Name]],1)="A",LEFT(Table1[[#This Row],[Coin Name]],1)="E",LEFT(Table1[[#This Row],[Coin Name]],1)="I",LEFT(Table1[[#This Row],[Coin Name]],1)="O",LEFT(Table1[[#This Row],[Coin Name]],1)="U",LEFT(Table1[[#This Row],[Coin Name]],1)="B",LEFT(Table1[[#This Row],[Coin Name]],1)="C",LEFT(Table1[[#This Row],[Coin Name]],1)="D"),"Yes","No")</f>
        <v>Yes</v>
      </c>
      <c r="M155" s="43">
        <f t="shared" si="53"/>
        <v>7.8279999999999999E-3</v>
      </c>
      <c r="N155" s="43">
        <f t="shared" si="54"/>
        <v>6.5897802845357352E-3</v>
      </c>
      <c r="O155" s="43" t="str">
        <f t="shared" si="55"/>
        <v>Up to $10</v>
      </c>
      <c r="P155" s="43">
        <f t="shared" si="56"/>
        <v>1.2382197154642647E-3</v>
      </c>
      <c r="Q155" s="43">
        <f t="shared" si="57"/>
        <v>-0.18790000000000001</v>
      </c>
      <c r="R155" s="43" t="str">
        <f t="shared" si="58"/>
        <v>$0-$5</v>
      </c>
      <c r="S155" s="45" t="str">
        <f t="shared" si="64"/>
        <v>$0-$0.05</v>
      </c>
    </row>
    <row r="156" spans="1:19" x14ac:dyDescent="0.35">
      <c r="A156" s="43" t="s">
        <v>146</v>
      </c>
      <c r="B156" s="43" t="s">
        <v>340</v>
      </c>
      <c r="C156" s="43" t="s">
        <v>531</v>
      </c>
      <c r="D156" s="44">
        <v>6.1999999999999998E-3</v>
      </c>
      <c r="E156" s="43">
        <f>D156</f>
        <v>6.1999999999999998E-3</v>
      </c>
      <c r="F156" s="43">
        <f t="shared" si="51"/>
        <v>-6.1999999999999998E-3</v>
      </c>
      <c r="G156" s="43">
        <f t="shared" si="52"/>
        <v>6.1999999999999998E-3</v>
      </c>
      <c r="H156" s="43" t="s">
        <v>719</v>
      </c>
      <c r="I156" s="43" t="s">
        <v>889</v>
      </c>
      <c r="J156" s="43">
        <f>IFERROR(VALUE(SUBSTITUTE(SUBSTITUTE(Table1[[#This Row],[Volume (24h) USD]],"$",""),",","")),0)</f>
        <v>75107</v>
      </c>
      <c r="K156" s="43" t="s">
        <v>1084</v>
      </c>
      <c r="L156" s="43" t="str">
        <f>IF(OR(LEFT(Table1[[#This Row],[Coin Name]],1)="A",LEFT(Table1[[#This Row],[Coin Name]],1)="E",LEFT(Table1[[#This Row],[Coin Name]],1)="I",LEFT(Table1[[#This Row],[Coin Name]],1)="O",LEFT(Table1[[#This Row],[Coin Name]],1)="U",LEFT(Table1[[#This Row],[Coin Name]],1)="B",LEFT(Table1[[#This Row],[Coin Name]],1)="C",LEFT(Table1[[#This Row],[Coin Name]],1)="D"),"Yes","No")</f>
        <v>Yes</v>
      </c>
      <c r="M156" s="43">
        <f t="shared" si="53"/>
        <v>4.9799999999999997E-2</v>
      </c>
      <c r="N156" s="43">
        <f t="shared" si="54"/>
        <v>4.9493142516398331E-2</v>
      </c>
      <c r="O156" s="43" t="str">
        <f t="shared" si="55"/>
        <v>Up to $10</v>
      </c>
      <c r="P156" s="43">
        <f t="shared" si="56"/>
        <v>3.0685748360166631E-4</v>
      </c>
      <c r="Q156" s="43">
        <f t="shared" si="57"/>
        <v>-6.1999999999999998E-3</v>
      </c>
      <c r="R156" s="43" t="str">
        <f t="shared" si="58"/>
        <v>$0-$5</v>
      </c>
      <c r="S156" s="45" t="str">
        <f t="shared" si="64"/>
        <v>$0-$0.05</v>
      </c>
    </row>
    <row r="157" spans="1:19" x14ac:dyDescent="0.35">
      <c r="A157" s="43" t="s">
        <v>159</v>
      </c>
      <c r="B157" s="43" t="s">
        <v>351</v>
      </c>
      <c r="C157" s="43" t="s">
        <v>544</v>
      </c>
      <c r="D157" s="44">
        <v>2.0000000000000001E-4</v>
      </c>
      <c r="E157" s="43">
        <f>D157</f>
        <v>2.0000000000000001E-4</v>
      </c>
      <c r="F157" s="43">
        <f t="shared" si="51"/>
        <v>-2.0000000000000001E-4</v>
      </c>
      <c r="G157" s="43">
        <f t="shared" si="52"/>
        <v>2.0000000000000001E-4</v>
      </c>
      <c r="H157" s="43" t="s">
        <v>729</v>
      </c>
      <c r="I157" s="43" t="s">
        <v>902</v>
      </c>
      <c r="J157" s="43">
        <f>IFERROR(VALUE(SUBSTITUTE(SUBSTITUTE(Table1[[#This Row],[Volume (24h) USD]],"$",""),",","")),0)</f>
        <v>72433</v>
      </c>
      <c r="K157" s="43" t="s">
        <v>1097</v>
      </c>
      <c r="L157" s="43" t="str">
        <f>IF(OR(LEFT(Table1[[#This Row],[Coin Name]],1)="A",LEFT(Table1[[#This Row],[Coin Name]],1)="E",LEFT(Table1[[#This Row],[Coin Name]],1)="I",LEFT(Table1[[#This Row],[Coin Name]],1)="O",LEFT(Table1[[#This Row],[Coin Name]],1)="U",LEFT(Table1[[#This Row],[Coin Name]],1)="B",LEFT(Table1[[#This Row],[Coin Name]],1)="C",LEFT(Table1[[#This Row],[Coin Name]],1)="D"),"Yes","No")</f>
        <v>Yes</v>
      </c>
      <c r="M157" s="43">
        <f t="shared" si="53"/>
        <v>8.03E-4</v>
      </c>
      <c r="N157" s="43">
        <f t="shared" si="54"/>
        <v>8.028394321135773E-4</v>
      </c>
      <c r="O157" s="43" t="str">
        <f t="shared" si="55"/>
        <v>Up to $10</v>
      </c>
      <c r="P157" s="43">
        <f t="shared" si="56"/>
        <v>1.6056788642269948E-7</v>
      </c>
      <c r="Q157" s="43">
        <f t="shared" si="57"/>
        <v>-2.0000000000000001E-4</v>
      </c>
      <c r="R157" s="43" t="str">
        <f t="shared" si="58"/>
        <v>$0-$5</v>
      </c>
      <c r="S157" s="45" t="str">
        <f t="shared" si="64"/>
        <v>$0-$0.05</v>
      </c>
    </row>
    <row r="158" spans="1:19" x14ac:dyDescent="0.35">
      <c r="A158" s="43" t="s">
        <v>163</v>
      </c>
      <c r="B158" s="43" t="s">
        <v>355</v>
      </c>
      <c r="C158" s="43" t="s">
        <v>548</v>
      </c>
      <c r="D158" s="44">
        <v>8.9999999999999998E-4</v>
      </c>
      <c r="E158" s="43">
        <f>D158</f>
        <v>8.9999999999999998E-4</v>
      </c>
      <c r="F158" s="43">
        <f t="shared" si="51"/>
        <v>-8.9999999999999998E-4</v>
      </c>
      <c r="G158" s="43">
        <f t="shared" si="52"/>
        <v>8.9999999999999998E-4</v>
      </c>
      <c r="H158" s="43" t="s">
        <v>731</v>
      </c>
      <c r="I158" s="43" t="s">
        <v>906</v>
      </c>
      <c r="J158" s="43">
        <f>IFERROR(VALUE(SUBSTITUTE(SUBSTITUTE(Table1[[#This Row],[Volume (24h) USD]],"$",""),",","")),0)</f>
        <v>220065</v>
      </c>
      <c r="K158" s="43" t="s">
        <v>1101</v>
      </c>
      <c r="L158" s="43" t="str">
        <f>IF(OR(LEFT(Table1[[#This Row],[Coin Name]],1)="A",LEFT(Table1[[#This Row],[Coin Name]],1)="E",LEFT(Table1[[#This Row],[Coin Name]],1)="I",LEFT(Table1[[#This Row],[Coin Name]],1)="O",LEFT(Table1[[#This Row],[Coin Name]],1)="U",LEFT(Table1[[#This Row],[Coin Name]],1)="B",LEFT(Table1[[#This Row],[Coin Name]],1)="C",LEFT(Table1[[#This Row],[Coin Name]],1)="D"),"Yes","No")</f>
        <v>No</v>
      </c>
      <c r="M158" s="43">
        <f t="shared" si="53"/>
        <v>7.7060000000000002E-3</v>
      </c>
      <c r="N158" s="43">
        <f t="shared" si="54"/>
        <v>7.6990708362473783E-3</v>
      </c>
      <c r="O158" s="43" t="str">
        <f t="shared" si="55"/>
        <v>Up to $10</v>
      </c>
      <c r="P158" s="43">
        <f t="shared" si="56"/>
        <v>6.9291637526218419E-6</v>
      </c>
      <c r="Q158" s="43">
        <f t="shared" si="57"/>
        <v>-8.9999999999999998E-4</v>
      </c>
      <c r="R158" s="43" t="str">
        <f t="shared" si="58"/>
        <v>$0-$5</v>
      </c>
      <c r="S158" s="45" t="str">
        <f t="shared" si="59"/>
        <v>&gt;$50</v>
      </c>
    </row>
    <row r="159" spans="1:19" x14ac:dyDescent="0.35">
      <c r="A159" s="43" t="s">
        <v>175</v>
      </c>
      <c r="B159" s="43" t="s">
        <v>366</v>
      </c>
      <c r="C159" s="43" t="s">
        <v>560</v>
      </c>
      <c r="D159" s="44">
        <v>3.2000000000000002E-3</v>
      </c>
      <c r="E159" s="43">
        <f>D159</f>
        <v>3.2000000000000002E-3</v>
      </c>
      <c r="F159" s="43">
        <f t="shared" si="51"/>
        <v>-3.2000000000000002E-3</v>
      </c>
      <c r="G159" s="43">
        <f t="shared" si="52"/>
        <v>3.2000000000000002E-3</v>
      </c>
      <c r="H159" s="43" t="s">
        <v>739</v>
      </c>
      <c r="I159" s="43" t="s">
        <v>917</v>
      </c>
      <c r="J159" s="43">
        <f>IFERROR(VALUE(SUBSTITUTE(SUBSTITUTE(Table1[[#This Row],[Volume (24h) USD]],"$",""),",","")),0)</f>
        <v>69191</v>
      </c>
      <c r="K159" s="43" t="s">
        <v>1111</v>
      </c>
      <c r="L159" s="43" t="str">
        <f>IF(OR(LEFT(Table1[[#This Row],[Coin Name]],1)="A",LEFT(Table1[[#This Row],[Coin Name]],1)="E",LEFT(Table1[[#This Row],[Coin Name]],1)="I",LEFT(Table1[[#This Row],[Coin Name]],1)="O",LEFT(Table1[[#This Row],[Coin Name]],1)="U",LEFT(Table1[[#This Row],[Coin Name]],1)="B",LEFT(Table1[[#This Row],[Coin Name]],1)="C",LEFT(Table1[[#This Row],[Coin Name]],1)="D"),"Yes","No")</f>
        <v>Yes</v>
      </c>
      <c r="M159" s="43">
        <f t="shared" si="53"/>
        <v>2.283E-2</v>
      </c>
      <c r="N159" s="43">
        <f t="shared" si="54"/>
        <v>2.275717703349282E-2</v>
      </c>
      <c r="O159" s="43" t="str">
        <f t="shared" si="55"/>
        <v>Up to $10</v>
      </c>
      <c r="P159" s="43">
        <f t="shared" si="56"/>
        <v>7.2822966507180009E-5</v>
      </c>
      <c r="Q159" s="43">
        <f t="shared" si="57"/>
        <v>-3.2000000000000002E-3</v>
      </c>
      <c r="R159" s="43" t="str">
        <f t="shared" si="58"/>
        <v>$0-$5</v>
      </c>
      <c r="S159" s="45" t="str">
        <f t="shared" ref="S159:S160" si="65">IF(M159&lt;=0.05,"$0-$0.05",IF(M159&lt;=0.5,"$0.05-$0.5",IF(M159&lt;=5,"$0.5-$5",IF(M159&lt;=50,"$5-$50","&gt;$50"))))</f>
        <v>$0-$0.05</v>
      </c>
    </row>
    <row r="160" spans="1:19" x14ac:dyDescent="0.35">
      <c r="A160" s="43" t="s">
        <v>131</v>
      </c>
      <c r="B160" s="43" t="s">
        <v>325</v>
      </c>
      <c r="C160" s="43" t="s">
        <v>516</v>
      </c>
      <c r="D160" s="44">
        <v>4.0000000000000001E-3</v>
      </c>
      <c r="E160" s="43">
        <f>D160</f>
        <v>4.0000000000000001E-3</v>
      </c>
      <c r="F160" s="43">
        <f t="shared" si="51"/>
        <v>-4.0000000000000001E-3</v>
      </c>
      <c r="G160" s="43">
        <f t="shared" si="52"/>
        <v>4.0000000000000001E-3</v>
      </c>
      <c r="H160" s="43" t="s">
        <v>706</v>
      </c>
      <c r="I160" s="43" t="s">
        <v>875</v>
      </c>
      <c r="J160" s="43">
        <f>IFERROR(VALUE(SUBSTITUTE(SUBSTITUTE(Table1[[#This Row],[Volume (24h) USD]],"$",""),",","")),0)</f>
        <v>43739</v>
      </c>
      <c r="K160" s="43" t="s">
        <v>1069</v>
      </c>
      <c r="L160" s="43" t="str">
        <f>IF(OR(LEFT(Table1[[#This Row],[Coin Name]],1)="A",LEFT(Table1[[#This Row],[Coin Name]],1)="E",LEFT(Table1[[#This Row],[Coin Name]],1)="I",LEFT(Table1[[#This Row],[Coin Name]],1)="O",LEFT(Table1[[#This Row],[Coin Name]],1)="U",LEFT(Table1[[#This Row],[Coin Name]],1)="B",LEFT(Table1[[#This Row],[Coin Name]],1)="C",LEFT(Table1[[#This Row],[Coin Name]],1)="D"),"Yes","No")</f>
        <v>Yes</v>
      </c>
      <c r="M160" s="43">
        <f t="shared" si="53"/>
        <v>3.6720000000000003E-2</v>
      </c>
      <c r="N160" s="43">
        <f t="shared" si="54"/>
        <v>3.6573705179282871E-2</v>
      </c>
      <c r="O160" s="43" t="str">
        <f t="shared" si="55"/>
        <v>Up to $10</v>
      </c>
      <c r="P160" s="43">
        <f t="shared" si="56"/>
        <v>1.4629482071713135E-4</v>
      </c>
      <c r="Q160" s="43">
        <f t="shared" si="57"/>
        <v>-4.0000000000000001E-3</v>
      </c>
      <c r="R160" s="43" t="str">
        <f t="shared" si="58"/>
        <v>$0-$5</v>
      </c>
      <c r="S160" s="45" t="str">
        <f t="shared" si="65"/>
        <v>$0-$0.05</v>
      </c>
    </row>
    <row r="161" spans="1:19" x14ac:dyDescent="0.35">
      <c r="A161" s="43" t="s">
        <v>166</v>
      </c>
      <c r="B161" s="43" t="s">
        <v>358</v>
      </c>
      <c r="C161" s="43" t="s">
        <v>551</v>
      </c>
      <c r="D161" s="44">
        <v>1.1999999999999999E-3</v>
      </c>
      <c r="E161" s="43">
        <f>D161</f>
        <v>1.1999999999999999E-3</v>
      </c>
      <c r="F161" s="43">
        <f t="shared" si="51"/>
        <v>-1.1999999999999999E-3</v>
      </c>
      <c r="G161" s="43">
        <f t="shared" si="52"/>
        <v>1.1999999999999999E-3</v>
      </c>
      <c r="H161" s="43" t="s">
        <v>733</v>
      </c>
      <c r="I161" s="43" t="s">
        <v>909</v>
      </c>
      <c r="J161" s="43">
        <f>IFERROR(VALUE(SUBSTITUTE(SUBSTITUTE(Table1[[#This Row],[Volume (24h) USD]],"$",""),",","")),0)</f>
        <v>977333</v>
      </c>
      <c r="K161" s="43" t="s">
        <v>1104</v>
      </c>
      <c r="L161" s="43" t="str">
        <f>IF(OR(LEFT(Table1[[#This Row],[Coin Name]],1)="A",LEFT(Table1[[#This Row],[Coin Name]],1)="E",LEFT(Table1[[#This Row],[Coin Name]],1)="I",LEFT(Table1[[#This Row],[Coin Name]],1)="O",LEFT(Table1[[#This Row],[Coin Name]],1)="U",LEFT(Table1[[#This Row],[Coin Name]],1)="B",LEFT(Table1[[#This Row],[Coin Name]],1)="C",LEFT(Table1[[#This Row],[Coin Name]],1)="D"),"Yes","No")</f>
        <v>No</v>
      </c>
      <c r="M161" s="43">
        <f t="shared" si="53"/>
        <v>6.9080000000000001E-3</v>
      </c>
      <c r="N161" s="43">
        <f t="shared" si="54"/>
        <v>6.8997203355972824E-3</v>
      </c>
      <c r="O161" s="43" t="str">
        <f t="shared" si="55"/>
        <v>Up to $10</v>
      </c>
      <c r="P161" s="43">
        <f t="shared" si="56"/>
        <v>8.2796644027176639E-6</v>
      </c>
      <c r="Q161" s="43">
        <f t="shared" si="57"/>
        <v>-1.1999999999999999E-3</v>
      </c>
      <c r="R161" s="43" t="str">
        <f t="shared" si="58"/>
        <v>$0-$5</v>
      </c>
      <c r="S161" s="45" t="str">
        <f t="shared" si="59"/>
        <v>&gt;$50</v>
      </c>
    </row>
    <row r="162" spans="1:19" x14ac:dyDescent="0.35">
      <c r="A162" s="43" t="s">
        <v>167</v>
      </c>
      <c r="B162" s="43" t="s">
        <v>359</v>
      </c>
      <c r="C162" s="43" t="s">
        <v>552</v>
      </c>
      <c r="D162" s="44">
        <v>2.6700000000000002E-2</v>
      </c>
      <c r="E162" s="43">
        <f>D162</f>
        <v>2.6700000000000002E-2</v>
      </c>
      <c r="F162" s="43">
        <f t="shared" ref="F162:F193" si="66">-D162</f>
        <v>-2.6700000000000002E-2</v>
      </c>
      <c r="G162" s="43">
        <f t="shared" ref="G162:G193" si="67">D162</f>
        <v>2.6700000000000002E-2</v>
      </c>
      <c r="H162" s="43" t="s">
        <v>734</v>
      </c>
      <c r="I162" s="43" t="s">
        <v>910</v>
      </c>
      <c r="J162" s="43">
        <f>IFERROR(VALUE(SUBSTITUTE(SUBSTITUTE(Table1[[#This Row],[Volume (24h) USD]],"$",""),",","")),0)</f>
        <v>721481</v>
      </c>
      <c r="K162" s="43" t="s">
        <v>1105</v>
      </c>
      <c r="L162" s="43" t="str">
        <f>IF(OR(LEFT(Table1[[#This Row],[Coin Name]],1)="A",LEFT(Table1[[#This Row],[Coin Name]],1)="E",LEFT(Table1[[#This Row],[Coin Name]],1)="I",LEFT(Table1[[#This Row],[Coin Name]],1)="O",LEFT(Table1[[#This Row],[Coin Name]],1)="U",LEFT(Table1[[#This Row],[Coin Name]],1)="B",LEFT(Table1[[#This Row],[Coin Name]],1)="C",LEFT(Table1[[#This Row],[Coin Name]],1)="D"),"Yes","No")</f>
        <v>No</v>
      </c>
      <c r="M162" s="43">
        <f t="shared" ref="M162:M193" si="68">VALUE(SUBSTITUTE(C162,"$",""))</f>
        <v>2.632E-2</v>
      </c>
      <c r="N162" s="43">
        <f t="shared" ref="N162:N193" si="69">M162/(1+D162)</f>
        <v>2.563553131391838E-2</v>
      </c>
      <c r="O162" s="43" t="str">
        <f t="shared" ref="O162:O193" si="70">IF(M162&lt;10,"Up to $10","&gt;= $10")</f>
        <v>Up to $10</v>
      </c>
      <c r="P162" s="43">
        <f t="shared" ref="P162:P193" si="71">M162-N162</f>
        <v>6.8446868608161918E-4</v>
      </c>
      <c r="Q162" s="43">
        <f t="shared" ref="Q162:Q193" si="72">F162</f>
        <v>-2.6700000000000002E-2</v>
      </c>
      <c r="R162" s="43" t="str">
        <f t="shared" ref="R162:R193" si="73">IF(M162&lt;=5,"$0-$5","&gt;$5")</f>
        <v>$0-$5</v>
      </c>
      <c r="S162" s="45" t="str">
        <f t="shared" ref="S162:S193" si="74">IF(C162&lt;=0.05,"$0-$0.05",
IF(C162&lt;=0.5,"$0.05-$0.5",
IF(C162&lt;=5,"$0.5-$5",
IF(C162&lt;=50,"$5-$50","&gt;$50"))))</f>
        <v>&gt;$50</v>
      </c>
    </row>
    <row r="163" spans="1:19" x14ac:dyDescent="0.35">
      <c r="A163" s="43" t="s">
        <v>168</v>
      </c>
      <c r="B163" s="43" t="s">
        <v>360</v>
      </c>
      <c r="C163" s="43" t="s">
        <v>553</v>
      </c>
      <c r="D163" s="44">
        <v>9.7000000000000003E-3</v>
      </c>
      <c r="E163" s="43">
        <f>D163</f>
        <v>9.7000000000000003E-3</v>
      </c>
      <c r="F163" s="43">
        <f t="shared" si="66"/>
        <v>-9.7000000000000003E-3</v>
      </c>
      <c r="G163" s="43">
        <f t="shared" si="67"/>
        <v>9.7000000000000003E-3</v>
      </c>
      <c r="H163" s="43" t="s">
        <v>734</v>
      </c>
      <c r="I163" s="43" t="s">
        <v>911</v>
      </c>
      <c r="J163" s="43">
        <f>IFERROR(VALUE(SUBSTITUTE(SUBSTITUTE(Table1[[#This Row],[Volume (24h) USD]],"$",""),",","")),0)</f>
        <v>1422530</v>
      </c>
      <c r="K163" s="43" t="s">
        <v>1106</v>
      </c>
      <c r="L163" s="43" t="str">
        <f>IF(OR(LEFT(Table1[[#This Row],[Coin Name]],1)="A",LEFT(Table1[[#This Row],[Coin Name]],1)="E",LEFT(Table1[[#This Row],[Coin Name]],1)="I",LEFT(Table1[[#This Row],[Coin Name]],1)="O",LEFT(Table1[[#This Row],[Coin Name]],1)="U",LEFT(Table1[[#This Row],[Coin Name]],1)="B",LEFT(Table1[[#This Row],[Coin Name]],1)="C",LEFT(Table1[[#This Row],[Coin Name]],1)="D"),"Yes","No")</f>
        <v>No</v>
      </c>
      <c r="M163" s="43">
        <f t="shared" si="68"/>
        <v>4.2319999999999999E-4</v>
      </c>
      <c r="N163" s="43">
        <f t="shared" si="69"/>
        <v>4.1913439635535304E-4</v>
      </c>
      <c r="O163" s="43" t="str">
        <f t="shared" si="70"/>
        <v>Up to $10</v>
      </c>
      <c r="P163" s="43">
        <f t="shared" si="71"/>
        <v>4.0656036446469457E-6</v>
      </c>
      <c r="Q163" s="43">
        <f t="shared" si="72"/>
        <v>-9.7000000000000003E-3</v>
      </c>
      <c r="R163" s="43" t="str">
        <f t="shared" si="73"/>
        <v>$0-$5</v>
      </c>
      <c r="S163" s="45" t="str">
        <f t="shared" si="74"/>
        <v>&gt;$50</v>
      </c>
    </row>
    <row r="164" spans="1:19" x14ac:dyDescent="0.35">
      <c r="A164" s="43" t="s">
        <v>169</v>
      </c>
      <c r="B164" s="43" t="s">
        <v>361</v>
      </c>
      <c r="C164" s="43" t="s">
        <v>554</v>
      </c>
      <c r="D164" s="44">
        <v>0</v>
      </c>
      <c r="E164" s="43">
        <f>D164</f>
        <v>0</v>
      </c>
      <c r="F164" s="43">
        <f t="shared" si="66"/>
        <v>0</v>
      </c>
      <c r="G164" s="43">
        <f t="shared" si="67"/>
        <v>0</v>
      </c>
      <c r="H164" s="43" t="s">
        <v>735</v>
      </c>
      <c r="I164" s="43" t="s">
        <v>863</v>
      </c>
      <c r="J164" s="43">
        <f>IFERROR(VALUE(SUBSTITUTE(SUBSTITUTE(Table1[[#This Row],[Volume (24h) USD]],"$",""),",","")),0)</f>
        <v>0</v>
      </c>
      <c r="K164" s="43" t="s">
        <v>1107</v>
      </c>
      <c r="L164" s="43" t="str">
        <f>IF(OR(LEFT(Table1[[#This Row],[Coin Name]],1)="A",LEFT(Table1[[#This Row],[Coin Name]],1)="E",LEFT(Table1[[#This Row],[Coin Name]],1)="I",LEFT(Table1[[#This Row],[Coin Name]],1)="O",LEFT(Table1[[#This Row],[Coin Name]],1)="U",LEFT(Table1[[#This Row],[Coin Name]],1)="B",LEFT(Table1[[#This Row],[Coin Name]],1)="C",LEFT(Table1[[#This Row],[Coin Name]],1)="D"),"Yes","No")</f>
        <v>No</v>
      </c>
      <c r="M164" s="43">
        <f t="shared" si="68"/>
        <v>8.6726999999999999E-2</v>
      </c>
      <c r="N164" s="43">
        <f t="shared" si="69"/>
        <v>8.6726999999999999E-2</v>
      </c>
      <c r="O164" s="43" t="str">
        <f t="shared" si="70"/>
        <v>Up to $10</v>
      </c>
      <c r="P164" s="43">
        <f t="shared" si="71"/>
        <v>0</v>
      </c>
      <c r="Q164" s="43">
        <f t="shared" si="72"/>
        <v>0</v>
      </c>
      <c r="R164" s="43" t="str">
        <f t="shared" si="73"/>
        <v>$0-$5</v>
      </c>
      <c r="S164" s="45" t="str">
        <f t="shared" si="74"/>
        <v>&gt;$50</v>
      </c>
    </row>
    <row r="165" spans="1:19" x14ac:dyDescent="0.35">
      <c r="A165" s="43" t="s">
        <v>170</v>
      </c>
      <c r="B165" s="43" t="s">
        <v>170</v>
      </c>
      <c r="C165" s="43" t="s">
        <v>555</v>
      </c>
      <c r="D165" s="44">
        <v>1E-3</v>
      </c>
      <c r="E165" s="43">
        <f>D165</f>
        <v>1E-3</v>
      </c>
      <c r="F165" s="43">
        <f t="shared" si="66"/>
        <v>-1E-3</v>
      </c>
      <c r="G165" s="43">
        <f t="shared" si="67"/>
        <v>1E-3</v>
      </c>
      <c r="H165" s="43" t="s">
        <v>735</v>
      </c>
      <c r="I165" s="43" t="s">
        <v>912</v>
      </c>
      <c r="J165" s="43">
        <f>IFERROR(VALUE(SUBSTITUTE(SUBSTITUTE(Table1[[#This Row],[Volume (24h) USD]],"$",""),",","")),0)</f>
        <v>107281</v>
      </c>
      <c r="K165" s="43" t="s">
        <v>963</v>
      </c>
      <c r="L165" s="43" t="str">
        <f>IF(OR(LEFT(Table1[[#This Row],[Coin Name]],1)="A",LEFT(Table1[[#This Row],[Coin Name]],1)="E",LEFT(Table1[[#This Row],[Coin Name]],1)="I",LEFT(Table1[[#This Row],[Coin Name]],1)="O",LEFT(Table1[[#This Row],[Coin Name]],1)="U",LEFT(Table1[[#This Row],[Coin Name]],1)="B",LEFT(Table1[[#This Row],[Coin Name]],1)="C",LEFT(Table1[[#This Row],[Coin Name]],1)="D"),"Yes","No")</f>
        <v>No</v>
      </c>
      <c r="M165" s="43">
        <f t="shared" si="68"/>
        <v>2.2959999999999999E-3</v>
      </c>
      <c r="N165" s="43">
        <f t="shared" si="69"/>
        <v>2.2937062937062936E-3</v>
      </c>
      <c r="O165" s="43" t="str">
        <f t="shared" si="70"/>
        <v>Up to $10</v>
      </c>
      <c r="P165" s="43">
        <f t="shared" si="71"/>
        <v>2.2937062937062463E-6</v>
      </c>
      <c r="Q165" s="43">
        <f t="shared" si="72"/>
        <v>-1E-3</v>
      </c>
      <c r="R165" s="43" t="str">
        <f t="shared" si="73"/>
        <v>$0-$5</v>
      </c>
      <c r="S165" s="45" t="str">
        <f t="shared" si="74"/>
        <v>&gt;$50</v>
      </c>
    </row>
    <row r="166" spans="1:19" x14ac:dyDescent="0.35">
      <c r="A166" s="43" t="s">
        <v>171</v>
      </c>
      <c r="B166" s="43" t="s">
        <v>362</v>
      </c>
      <c r="C166" s="43" t="s">
        <v>556</v>
      </c>
      <c r="D166" s="44">
        <v>2.4799999999999999E-2</v>
      </c>
      <c r="E166" s="43">
        <f>D166</f>
        <v>2.4799999999999999E-2</v>
      </c>
      <c r="F166" s="43">
        <f t="shared" si="66"/>
        <v>-2.4799999999999999E-2</v>
      </c>
      <c r="G166" s="43">
        <f t="shared" si="67"/>
        <v>2.4799999999999999E-2</v>
      </c>
      <c r="H166" s="43" t="s">
        <v>736</v>
      </c>
      <c r="I166" s="43" t="s">
        <v>913</v>
      </c>
      <c r="J166" s="43">
        <f>IFERROR(VALUE(SUBSTITUTE(SUBSTITUTE(Table1[[#This Row],[Volume (24h) USD]],"$",""),",","")),0)</f>
        <v>465</v>
      </c>
      <c r="K166" s="43" t="s">
        <v>1108</v>
      </c>
      <c r="L166" s="43" t="str">
        <f>IF(OR(LEFT(Table1[[#This Row],[Coin Name]],1)="A",LEFT(Table1[[#This Row],[Coin Name]],1)="E",LEFT(Table1[[#This Row],[Coin Name]],1)="I",LEFT(Table1[[#This Row],[Coin Name]],1)="O",LEFT(Table1[[#This Row],[Coin Name]],1)="U",LEFT(Table1[[#This Row],[Coin Name]],1)="B",LEFT(Table1[[#This Row],[Coin Name]],1)="C",LEFT(Table1[[#This Row],[Coin Name]],1)="D"),"Yes","No")</f>
        <v>No</v>
      </c>
      <c r="M166" s="43">
        <f t="shared" si="68"/>
        <v>5.638E-2</v>
      </c>
      <c r="N166" s="43">
        <f t="shared" si="69"/>
        <v>5.5015612802498053E-2</v>
      </c>
      <c r="O166" s="43" t="str">
        <f t="shared" si="70"/>
        <v>Up to $10</v>
      </c>
      <c r="P166" s="43">
        <f t="shared" si="71"/>
        <v>1.364387197501947E-3</v>
      </c>
      <c r="Q166" s="43">
        <f t="shared" si="72"/>
        <v>-2.4799999999999999E-2</v>
      </c>
      <c r="R166" s="43" t="str">
        <f t="shared" si="73"/>
        <v>$0-$5</v>
      </c>
      <c r="S166" s="45" t="str">
        <f t="shared" si="74"/>
        <v>&gt;$50</v>
      </c>
    </row>
    <row r="167" spans="1:19" x14ac:dyDescent="0.35">
      <c r="A167" s="43" t="s">
        <v>176</v>
      </c>
      <c r="B167" s="43" t="s">
        <v>176</v>
      </c>
      <c r="C167" s="43" t="s">
        <v>561</v>
      </c>
      <c r="D167" s="44">
        <v>8.0000000000000002E-3</v>
      </c>
      <c r="E167" s="43">
        <f>D167</f>
        <v>8.0000000000000002E-3</v>
      </c>
      <c r="F167" s="43">
        <f t="shared" si="66"/>
        <v>-8.0000000000000002E-3</v>
      </c>
      <c r="G167" s="43">
        <f t="shared" si="67"/>
        <v>8.0000000000000002E-3</v>
      </c>
      <c r="H167" s="43" t="s">
        <v>739</v>
      </c>
      <c r="I167" s="43" t="s">
        <v>918</v>
      </c>
      <c r="J167" s="43">
        <f>IFERROR(VALUE(SUBSTITUTE(SUBSTITUTE(Table1[[#This Row],[Volume (24h) USD]],"$",""),",","")),0)</f>
        <v>34103</v>
      </c>
      <c r="K167" s="43" t="s">
        <v>1112</v>
      </c>
      <c r="L167" s="43" t="str">
        <f>IF(OR(LEFT(Table1[[#This Row],[Coin Name]],1)="A",LEFT(Table1[[#This Row],[Coin Name]],1)="E",LEFT(Table1[[#This Row],[Coin Name]],1)="I",LEFT(Table1[[#This Row],[Coin Name]],1)="O",LEFT(Table1[[#This Row],[Coin Name]],1)="U",LEFT(Table1[[#This Row],[Coin Name]],1)="B",LEFT(Table1[[#This Row],[Coin Name]],1)="C",LEFT(Table1[[#This Row],[Coin Name]],1)="D"),"Yes","No")</f>
        <v>Yes</v>
      </c>
      <c r="M167" s="43">
        <f t="shared" si="68"/>
        <v>2.6020000000000001E-3</v>
      </c>
      <c r="N167" s="43">
        <f t="shared" si="69"/>
        <v>2.5813492063492065E-3</v>
      </c>
      <c r="O167" s="43" t="str">
        <f t="shared" si="70"/>
        <v>Up to $10</v>
      </c>
      <c r="P167" s="43">
        <f t="shared" si="71"/>
        <v>2.0650793650793618E-5</v>
      </c>
      <c r="Q167" s="43">
        <f t="shared" si="72"/>
        <v>-8.0000000000000002E-3</v>
      </c>
      <c r="R167" s="43" t="str">
        <f t="shared" si="73"/>
        <v>$0-$5</v>
      </c>
      <c r="S167" s="45" t="str">
        <f t="shared" ref="S167:S171" si="75">IF(M167&lt;=0.05,"$0-$0.05",IF(M167&lt;=0.5,"$0.05-$0.5",IF(M167&lt;=5,"$0.5-$5",IF(M167&lt;=50,"$5-$50","&gt;$50"))))</f>
        <v>$0-$0.05</v>
      </c>
    </row>
    <row r="168" spans="1:19" x14ac:dyDescent="0.35">
      <c r="A168" s="43" t="s">
        <v>66</v>
      </c>
      <c r="B168" s="43" t="s">
        <v>262</v>
      </c>
      <c r="C168" s="43" t="s">
        <v>451</v>
      </c>
      <c r="D168" s="44">
        <v>2.8199999999999999E-2</v>
      </c>
      <c r="E168" s="43">
        <f>D168</f>
        <v>2.8199999999999999E-2</v>
      </c>
      <c r="F168" s="43">
        <f t="shared" si="66"/>
        <v>-2.8199999999999999E-2</v>
      </c>
      <c r="G168" s="43">
        <f t="shared" si="67"/>
        <v>2.8199999999999999E-2</v>
      </c>
      <c r="H168" s="43" t="s">
        <v>651</v>
      </c>
      <c r="I168" s="43" t="s">
        <v>811</v>
      </c>
      <c r="J168" s="43">
        <f>IFERROR(VALUE(SUBSTITUTE(SUBSTITUTE(Table1[[#This Row],[Volume (24h) USD]],"$",""),",","")),0)</f>
        <v>21125</v>
      </c>
      <c r="K168" s="43" t="s">
        <v>1005</v>
      </c>
      <c r="L168" s="43" t="str">
        <f>IF(OR(LEFT(Table1[[#This Row],[Coin Name]],1)="A",LEFT(Table1[[#This Row],[Coin Name]],1)="E",LEFT(Table1[[#This Row],[Coin Name]],1)="I",LEFT(Table1[[#This Row],[Coin Name]],1)="O",LEFT(Table1[[#This Row],[Coin Name]],1)="U",LEFT(Table1[[#This Row],[Coin Name]],1)="B",LEFT(Table1[[#This Row],[Coin Name]],1)="C",LEFT(Table1[[#This Row],[Coin Name]],1)="D"),"Yes","No")</f>
        <v>Yes</v>
      </c>
      <c r="M168" s="43">
        <f t="shared" si="68"/>
        <v>90.45</v>
      </c>
      <c r="N168" s="43">
        <f t="shared" si="69"/>
        <v>87.969266679634316</v>
      </c>
      <c r="O168" s="43" t="str">
        <f t="shared" si="70"/>
        <v>&gt;= $10</v>
      </c>
      <c r="P168" s="43">
        <f t="shared" si="71"/>
        <v>2.4807333203656867</v>
      </c>
      <c r="Q168" s="43">
        <f t="shared" si="72"/>
        <v>-2.8199999999999999E-2</v>
      </c>
      <c r="R168" s="43" t="str">
        <f t="shared" si="73"/>
        <v>&gt;$5</v>
      </c>
      <c r="S168" s="45" t="str">
        <f t="shared" si="75"/>
        <v>&gt;$50</v>
      </c>
    </row>
    <row r="169" spans="1:19" x14ac:dyDescent="0.35">
      <c r="A169" s="43" t="s">
        <v>144</v>
      </c>
      <c r="B169" s="43" t="s">
        <v>338</v>
      </c>
      <c r="C169" s="43" t="s">
        <v>529</v>
      </c>
      <c r="D169" s="44">
        <v>3.7000000000000002E-3</v>
      </c>
      <c r="E169" s="43">
        <f>D169</f>
        <v>3.7000000000000002E-3</v>
      </c>
      <c r="F169" s="43">
        <f t="shared" si="66"/>
        <v>-3.7000000000000002E-3</v>
      </c>
      <c r="G169" s="43">
        <f t="shared" si="67"/>
        <v>3.7000000000000002E-3</v>
      </c>
      <c r="H169" s="43" t="s">
        <v>718</v>
      </c>
      <c r="I169" s="43" t="s">
        <v>887</v>
      </c>
      <c r="J169" s="43">
        <f>IFERROR(VALUE(SUBSTITUTE(SUBSTITUTE(Table1[[#This Row],[Volume (24h) USD]],"$",""),",","")),0)</f>
        <v>17403</v>
      </c>
      <c r="K169" s="43" t="s">
        <v>1082</v>
      </c>
      <c r="L169" s="43" t="str">
        <f>IF(OR(LEFT(Table1[[#This Row],[Coin Name]],1)="A",LEFT(Table1[[#This Row],[Coin Name]],1)="E",LEFT(Table1[[#This Row],[Coin Name]],1)="I",LEFT(Table1[[#This Row],[Coin Name]],1)="O",LEFT(Table1[[#This Row],[Coin Name]],1)="U",LEFT(Table1[[#This Row],[Coin Name]],1)="B",LEFT(Table1[[#This Row],[Coin Name]],1)="C",LEFT(Table1[[#This Row],[Coin Name]],1)="D"),"Yes","No")</f>
        <v>Yes</v>
      </c>
      <c r="M169" s="43">
        <f t="shared" si="68"/>
        <v>5.1869999999999998E-3</v>
      </c>
      <c r="N169" s="43">
        <f t="shared" si="69"/>
        <v>5.1678788482614323E-3</v>
      </c>
      <c r="O169" s="43" t="str">
        <f t="shared" si="70"/>
        <v>Up to $10</v>
      </c>
      <c r="P169" s="43">
        <f t="shared" si="71"/>
        <v>1.9121151738567439E-5</v>
      </c>
      <c r="Q169" s="43">
        <f t="shared" si="72"/>
        <v>-3.7000000000000002E-3</v>
      </c>
      <c r="R169" s="43" t="str">
        <f t="shared" si="73"/>
        <v>$0-$5</v>
      </c>
      <c r="S169" s="45" t="str">
        <f t="shared" si="75"/>
        <v>$0-$0.05</v>
      </c>
    </row>
    <row r="170" spans="1:19" x14ac:dyDescent="0.35">
      <c r="A170" s="43" t="s">
        <v>153</v>
      </c>
      <c r="B170" s="43" t="s">
        <v>346</v>
      </c>
      <c r="C170" s="43" t="s">
        <v>538</v>
      </c>
      <c r="D170" s="44">
        <v>8.9999999999999993E-3</v>
      </c>
      <c r="E170" s="43">
        <f>D170</f>
        <v>8.9999999999999993E-3</v>
      </c>
      <c r="F170" s="43">
        <f t="shared" si="66"/>
        <v>-8.9999999999999993E-3</v>
      </c>
      <c r="G170" s="43">
        <f t="shared" si="67"/>
        <v>8.9999999999999993E-3</v>
      </c>
      <c r="H170" s="43" t="s">
        <v>726</v>
      </c>
      <c r="I170" s="43" t="s">
        <v>896</v>
      </c>
      <c r="J170" s="43">
        <f>IFERROR(VALUE(SUBSTITUTE(SUBSTITUTE(Table1[[#This Row],[Volume (24h) USD]],"$",""),",","")),0)</f>
        <v>14376</v>
      </c>
      <c r="K170" s="43" t="s">
        <v>1091</v>
      </c>
      <c r="L170" s="43" t="str">
        <f>IF(OR(LEFT(Table1[[#This Row],[Coin Name]],1)="A",LEFT(Table1[[#This Row],[Coin Name]],1)="E",LEFT(Table1[[#This Row],[Coin Name]],1)="I",LEFT(Table1[[#This Row],[Coin Name]],1)="O",LEFT(Table1[[#This Row],[Coin Name]],1)="U",LEFT(Table1[[#This Row],[Coin Name]],1)="B",LEFT(Table1[[#This Row],[Coin Name]],1)="C",LEFT(Table1[[#This Row],[Coin Name]],1)="D"),"Yes","No")</f>
        <v>Yes</v>
      </c>
      <c r="M170" s="43">
        <f t="shared" si="68"/>
        <v>3.3210000000000003E-2</v>
      </c>
      <c r="N170" s="43">
        <f t="shared" si="69"/>
        <v>3.2913776015857293E-2</v>
      </c>
      <c r="O170" s="43" t="str">
        <f t="shared" si="70"/>
        <v>Up to $10</v>
      </c>
      <c r="P170" s="43">
        <f t="shared" si="71"/>
        <v>2.9622398414271001E-4</v>
      </c>
      <c r="Q170" s="43">
        <f t="shared" si="72"/>
        <v>-8.9999999999999993E-3</v>
      </c>
      <c r="R170" s="43" t="str">
        <f t="shared" si="73"/>
        <v>$0-$5</v>
      </c>
      <c r="S170" s="45" t="str">
        <f t="shared" si="75"/>
        <v>$0-$0.05</v>
      </c>
    </row>
    <row r="171" spans="1:19" x14ac:dyDescent="0.35">
      <c r="A171" s="43" t="s">
        <v>198</v>
      </c>
      <c r="B171" s="43" t="s">
        <v>384</v>
      </c>
      <c r="C171" s="43" t="s">
        <v>583</v>
      </c>
      <c r="D171" s="44">
        <v>2E-3</v>
      </c>
      <c r="E171" s="43">
        <f>D171</f>
        <v>2E-3</v>
      </c>
      <c r="F171" s="43">
        <f t="shared" si="66"/>
        <v>-2E-3</v>
      </c>
      <c r="G171" s="43">
        <f t="shared" si="67"/>
        <v>2E-3</v>
      </c>
      <c r="H171" s="43" t="s">
        <v>748</v>
      </c>
      <c r="I171" s="43" t="s">
        <v>937</v>
      </c>
      <c r="J171" s="43">
        <f>IFERROR(VALUE(SUBSTITUTE(SUBSTITUTE(Table1[[#This Row],[Volume (24h) USD]],"$",""),",","")),0)</f>
        <v>11736</v>
      </c>
      <c r="K171" s="43" t="s">
        <v>1131</v>
      </c>
      <c r="L171" s="43" t="str">
        <f>IF(OR(LEFT(Table1[[#This Row],[Coin Name]],1)="A",LEFT(Table1[[#This Row],[Coin Name]],1)="E",LEFT(Table1[[#This Row],[Coin Name]],1)="I",LEFT(Table1[[#This Row],[Coin Name]],1)="O",LEFT(Table1[[#This Row],[Coin Name]],1)="U",LEFT(Table1[[#This Row],[Coin Name]],1)="B",LEFT(Table1[[#This Row],[Coin Name]],1)="C",LEFT(Table1[[#This Row],[Coin Name]],1)="D"),"Yes","No")</f>
        <v>Yes</v>
      </c>
      <c r="M171" s="43">
        <f t="shared" si="68"/>
        <v>4.0850000000000001E-3</v>
      </c>
      <c r="N171" s="43">
        <f t="shared" si="69"/>
        <v>4.0768463073852295E-3</v>
      </c>
      <c r="O171" s="43" t="str">
        <f t="shared" si="70"/>
        <v>Up to $10</v>
      </c>
      <c r="P171" s="43">
        <f t="shared" si="71"/>
        <v>8.153692614770551E-6</v>
      </c>
      <c r="Q171" s="43">
        <f t="shared" si="72"/>
        <v>-2E-3</v>
      </c>
      <c r="R171" s="43" t="str">
        <f t="shared" si="73"/>
        <v>$0-$5</v>
      </c>
      <c r="S171" s="45" t="str">
        <f t="shared" si="75"/>
        <v>$0-$0.05</v>
      </c>
    </row>
    <row r="172" spans="1:19" x14ac:dyDescent="0.35">
      <c r="A172" s="43" t="s">
        <v>177</v>
      </c>
      <c r="B172" s="43" t="s">
        <v>177</v>
      </c>
      <c r="C172" s="43" t="s">
        <v>562</v>
      </c>
      <c r="D172" s="44">
        <v>8.0999999999999996E-3</v>
      </c>
      <c r="E172" s="43">
        <f>D172</f>
        <v>8.0999999999999996E-3</v>
      </c>
      <c r="F172" s="43">
        <f t="shared" si="66"/>
        <v>-8.0999999999999996E-3</v>
      </c>
      <c r="G172" s="43">
        <f t="shared" si="67"/>
        <v>8.0999999999999996E-3</v>
      </c>
      <c r="H172" s="43" t="s">
        <v>740</v>
      </c>
      <c r="I172" s="43" t="s">
        <v>919</v>
      </c>
      <c r="J172" s="43">
        <f>IFERROR(VALUE(SUBSTITUTE(SUBSTITUTE(Table1[[#This Row],[Volume (24h) USD]],"$",""),",","")),0)</f>
        <v>1983713</v>
      </c>
      <c r="K172" s="43" t="s">
        <v>1113</v>
      </c>
      <c r="L172" s="43" t="str">
        <f>IF(OR(LEFT(Table1[[#This Row],[Coin Name]],1)="A",LEFT(Table1[[#This Row],[Coin Name]],1)="E",LEFT(Table1[[#This Row],[Coin Name]],1)="I",LEFT(Table1[[#This Row],[Coin Name]],1)="O",LEFT(Table1[[#This Row],[Coin Name]],1)="U",LEFT(Table1[[#This Row],[Coin Name]],1)="B",LEFT(Table1[[#This Row],[Coin Name]],1)="C",LEFT(Table1[[#This Row],[Coin Name]],1)="D"),"Yes","No")</f>
        <v>No</v>
      </c>
      <c r="M172" s="43">
        <f t="shared" si="68"/>
        <v>1.772E-2</v>
      </c>
      <c r="N172" s="43">
        <f t="shared" si="69"/>
        <v>1.7577621267731377E-2</v>
      </c>
      <c r="O172" s="43" t="str">
        <f t="shared" si="70"/>
        <v>Up to $10</v>
      </c>
      <c r="P172" s="43">
        <f t="shared" si="71"/>
        <v>1.4237873226862277E-4</v>
      </c>
      <c r="Q172" s="43">
        <f t="shared" si="72"/>
        <v>-8.0999999999999996E-3</v>
      </c>
      <c r="R172" s="43" t="str">
        <f t="shared" si="73"/>
        <v>$0-$5</v>
      </c>
      <c r="S172" s="45" t="str">
        <f t="shared" si="74"/>
        <v>&gt;$50</v>
      </c>
    </row>
    <row r="173" spans="1:19" x14ac:dyDescent="0.35">
      <c r="A173" s="43" t="s">
        <v>178</v>
      </c>
      <c r="B173" s="43" t="s">
        <v>367</v>
      </c>
      <c r="C173" s="43" t="s">
        <v>563</v>
      </c>
      <c r="D173" s="44">
        <v>1.5800000000000002E-2</v>
      </c>
      <c r="E173" s="43">
        <f>D173</f>
        <v>1.5800000000000002E-2</v>
      </c>
      <c r="F173" s="43">
        <f t="shared" si="66"/>
        <v>-1.5800000000000002E-2</v>
      </c>
      <c r="G173" s="43">
        <f t="shared" si="67"/>
        <v>1.5800000000000002E-2</v>
      </c>
      <c r="H173" s="43" t="s">
        <v>740</v>
      </c>
      <c r="I173" s="43" t="s">
        <v>920</v>
      </c>
      <c r="J173" s="43">
        <f>IFERROR(VALUE(SUBSTITUTE(SUBSTITUTE(Table1[[#This Row],[Volume (24h) USD]],"$",""),",","")),0)</f>
        <v>944920</v>
      </c>
      <c r="K173" s="43" t="s">
        <v>959</v>
      </c>
      <c r="L173" s="43" t="str">
        <f>IF(OR(LEFT(Table1[[#This Row],[Coin Name]],1)="A",LEFT(Table1[[#This Row],[Coin Name]],1)="E",LEFT(Table1[[#This Row],[Coin Name]],1)="I",LEFT(Table1[[#This Row],[Coin Name]],1)="O",LEFT(Table1[[#This Row],[Coin Name]],1)="U",LEFT(Table1[[#This Row],[Coin Name]],1)="B",LEFT(Table1[[#This Row],[Coin Name]],1)="C",LEFT(Table1[[#This Row],[Coin Name]],1)="D"),"Yes","No")</f>
        <v>No</v>
      </c>
      <c r="M173" s="43">
        <f t="shared" si="68"/>
        <v>2.003E-3</v>
      </c>
      <c r="N173" s="43">
        <f t="shared" si="69"/>
        <v>1.9718448513486907E-3</v>
      </c>
      <c r="O173" s="43" t="str">
        <f t="shared" si="70"/>
        <v>Up to $10</v>
      </c>
      <c r="P173" s="43">
        <f t="shared" si="71"/>
        <v>3.1155148651309302E-5</v>
      </c>
      <c r="Q173" s="43">
        <f t="shared" si="72"/>
        <v>-1.5800000000000002E-2</v>
      </c>
      <c r="R173" s="43" t="str">
        <f t="shared" si="73"/>
        <v>$0-$5</v>
      </c>
      <c r="S173" s="45" t="str">
        <f t="shared" si="74"/>
        <v>&gt;$50</v>
      </c>
    </row>
    <row r="174" spans="1:19" x14ac:dyDescent="0.35">
      <c r="A174" s="43" t="s">
        <v>179</v>
      </c>
      <c r="B174" s="43" t="s">
        <v>368</v>
      </c>
      <c r="C174" s="43" t="s">
        <v>564</v>
      </c>
      <c r="D174" s="44">
        <v>8.9999999999999998E-4</v>
      </c>
      <c r="E174" s="43">
        <f>D174</f>
        <v>8.9999999999999998E-4</v>
      </c>
      <c r="F174" s="43">
        <f t="shared" si="66"/>
        <v>-8.9999999999999998E-4</v>
      </c>
      <c r="G174" s="43">
        <f t="shared" si="67"/>
        <v>8.9999999999999998E-4</v>
      </c>
      <c r="H174" s="43" t="s">
        <v>741</v>
      </c>
      <c r="I174" s="43" t="s">
        <v>863</v>
      </c>
      <c r="J174" s="43">
        <f>IFERROR(VALUE(SUBSTITUTE(SUBSTITUTE(Table1[[#This Row],[Volume (24h) USD]],"$",""),",","")),0)</f>
        <v>0</v>
      </c>
      <c r="K174" s="43" t="s">
        <v>1114</v>
      </c>
      <c r="L174" s="43" t="str">
        <f>IF(OR(LEFT(Table1[[#This Row],[Coin Name]],1)="A",LEFT(Table1[[#This Row],[Coin Name]],1)="E",LEFT(Table1[[#This Row],[Coin Name]],1)="I",LEFT(Table1[[#This Row],[Coin Name]],1)="O",LEFT(Table1[[#This Row],[Coin Name]],1)="U",LEFT(Table1[[#This Row],[Coin Name]],1)="B",LEFT(Table1[[#This Row],[Coin Name]],1)="C",LEFT(Table1[[#This Row],[Coin Name]],1)="D"),"Yes","No")</f>
        <v>No</v>
      </c>
      <c r="M174" s="43">
        <f t="shared" si="68"/>
        <v>0.73839999999999995</v>
      </c>
      <c r="N174" s="43">
        <f t="shared" si="69"/>
        <v>0.73773603756619044</v>
      </c>
      <c r="O174" s="43" t="str">
        <f t="shared" si="70"/>
        <v>Up to $10</v>
      </c>
      <c r="P174" s="43">
        <f t="shared" si="71"/>
        <v>6.6396243380950626E-4</v>
      </c>
      <c r="Q174" s="43">
        <f t="shared" si="72"/>
        <v>-8.9999999999999998E-4</v>
      </c>
      <c r="R174" s="43" t="str">
        <f t="shared" si="73"/>
        <v>$0-$5</v>
      </c>
      <c r="S174" s="45" t="str">
        <f t="shared" si="74"/>
        <v>&gt;$50</v>
      </c>
    </row>
    <row r="175" spans="1:19" x14ac:dyDescent="0.35">
      <c r="A175" s="43" t="s">
        <v>180</v>
      </c>
      <c r="B175" s="43" t="s">
        <v>180</v>
      </c>
      <c r="C175" s="43" t="s">
        <v>565</v>
      </c>
      <c r="D175" s="44">
        <v>1.5599999999999999E-2</v>
      </c>
      <c r="E175" s="43">
        <f>D175</f>
        <v>1.5599999999999999E-2</v>
      </c>
      <c r="F175" s="43">
        <f t="shared" si="66"/>
        <v>-1.5599999999999999E-2</v>
      </c>
      <c r="G175" s="43">
        <f t="shared" si="67"/>
        <v>1.5599999999999999E-2</v>
      </c>
      <c r="H175" s="43" t="s">
        <v>741</v>
      </c>
      <c r="I175" s="43" t="s">
        <v>921</v>
      </c>
      <c r="J175" s="43">
        <f>IFERROR(VALUE(SUBSTITUTE(SUBSTITUTE(Table1[[#This Row],[Volume (24h) USD]],"$",""),",","")),0)</f>
        <v>25840</v>
      </c>
      <c r="K175" s="43" t="s">
        <v>1115</v>
      </c>
      <c r="L175" s="43" t="str">
        <f>IF(OR(LEFT(Table1[[#This Row],[Coin Name]],1)="A",LEFT(Table1[[#This Row],[Coin Name]],1)="E",LEFT(Table1[[#This Row],[Coin Name]],1)="I",LEFT(Table1[[#This Row],[Coin Name]],1)="O",LEFT(Table1[[#This Row],[Coin Name]],1)="U",LEFT(Table1[[#This Row],[Coin Name]],1)="B",LEFT(Table1[[#This Row],[Coin Name]],1)="C",LEFT(Table1[[#This Row],[Coin Name]],1)="D"),"Yes","No")</f>
        <v>No</v>
      </c>
      <c r="M175" s="43">
        <f t="shared" si="68"/>
        <v>2.032E-3</v>
      </c>
      <c r="N175" s="43">
        <f t="shared" si="69"/>
        <v>2.0007877116975186E-3</v>
      </c>
      <c r="O175" s="43" t="str">
        <f t="shared" si="70"/>
        <v>Up to $10</v>
      </c>
      <c r="P175" s="43">
        <f t="shared" si="71"/>
        <v>3.1212288302481361E-5</v>
      </c>
      <c r="Q175" s="43">
        <f t="shared" si="72"/>
        <v>-1.5599999999999999E-2</v>
      </c>
      <c r="R175" s="43" t="str">
        <f t="shared" si="73"/>
        <v>$0-$5</v>
      </c>
      <c r="S175" s="45" t="str">
        <f t="shared" si="74"/>
        <v>&gt;$50</v>
      </c>
    </row>
    <row r="176" spans="1:19" x14ac:dyDescent="0.35">
      <c r="A176" s="43" t="s">
        <v>181</v>
      </c>
      <c r="B176" s="43" t="s">
        <v>369</v>
      </c>
      <c r="C176" s="43" t="s">
        <v>566</v>
      </c>
      <c r="D176" s="44">
        <v>1E-3</v>
      </c>
      <c r="E176" s="43">
        <f>D176</f>
        <v>1E-3</v>
      </c>
      <c r="F176" s="43">
        <f t="shared" si="66"/>
        <v>-1E-3</v>
      </c>
      <c r="G176" s="43">
        <f t="shared" si="67"/>
        <v>1E-3</v>
      </c>
      <c r="H176" s="43" t="s">
        <v>741</v>
      </c>
      <c r="I176" s="43" t="s">
        <v>922</v>
      </c>
      <c r="J176" s="43">
        <f>IFERROR(VALUE(SUBSTITUTE(SUBSTITUTE(Table1[[#This Row],[Volume (24h) USD]],"$",""),",","")),0)</f>
        <v>290910</v>
      </c>
      <c r="K176" s="43" t="s">
        <v>1116</v>
      </c>
      <c r="L176" s="43" t="str">
        <f>IF(OR(LEFT(Table1[[#This Row],[Coin Name]],1)="A",LEFT(Table1[[#This Row],[Coin Name]],1)="E",LEFT(Table1[[#This Row],[Coin Name]],1)="I",LEFT(Table1[[#This Row],[Coin Name]],1)="O",LEFT(Table1[[#This Row],[Coin Name]],1)="U",LEFT(Table1[[#This Row],[Coin Name]],1)="B",LEFT(Table1[[#This Row],[Coin Name]],1)="C",LEFT(Table1[[#This Row],[Coin Name]],1)="D"),"Yes","No")</f>
        <v>No</v>
      </c>
      <c r="M176" s="43">
        <f t="shared" si="68"/>
        <v>4.5649999999999996E-3</v>
      </c>
      <c r="N176" s="43">
        <f t="shared" si="69"/>
        <v>4.5604395604395605E-3</v>
      </c>
      <c r="O176" s="43" t="str">
        <f t="shared" si="70"/>
        <v>Up to $10</v>
      </c>
      <c r="P176" s="43">
        <f t="shared" si="71"/>
        <v>4.5604395604390696E-6</v>
      </c>
      <c r="Q176" s="43">
        <f t="shared" si="72"/>
        <v>-1E-3</v>
      </c>
      <c r="R176" s="43" t="str">
        <f t="shared" si="73"/>
        <v>$0-$5</v>
      </c>
      <c r="S176" s="45" t="str">
        <f t="shared" si="74"/>
        <v>&gt;$50</v>
      </c>
    </row>
    <row r="177" spans="1:19" x14ac:dyDescent="0.35">
      <c r="A177" s="43" t="s">
        <v>182</v>
      </c>
      <c r="B177" s="43" t="s">
        <v>370</v>
      </c>
      <c r="C177" s="43" t="s">
        <v>567</v>
      </c>
      <c r="D177" s="44">
        <v>1.21E-2</v>
      </c>
      <c r="E177" s="43">
        <f>D177</f>
        <v>1.21E-2</v>
      </c>
      <c r="F177" s="43">
        <f t="shared" si="66"/>
        <v>-1.21E-2</v>
      </c>
      <c r="G177" s="43">
        <f t="shared" si="67"/>
        <v>1.21E-2</v>
      </c>
      <c r="H177" s="43" t="s">
        <v>741</v>
      </c>
      <c r="I177" s="43" t="s">
        <v>923</v>
      </c>
      <c r="J177" s="43">
        <f>IFERROR(VALUE(SUBSTITUTE(SUBSTITUTE(Table1[[#This Row],[Volume (24h) USD]],"$",""),",","")),0)</f>
        <v>1872</v>
      </c>
      <c r="K177" s="43" t="s">
        <v>1117</v>
      </c>
      <c r="L177" s="43" t="str">
        <f>IF(OR(LEFT(Table1[[#This Row],[Coin Name]],1)="A",LEFT(Table1[[#This Row],[Coin Name]],1)="E",LEFT(Table1[[#This Row],[Coin Name]],1)="I",LEFT(Table1[[#This Row],[Coin Name]],1)="O",LEFT(Table1[[#This Row],[Coin Name]],1)="U",LEFT(Table1[[#This Row],[Coin Name]],1)="B",LEFT(Table1[[#This Row],[Coin Name]],1)="C",LEFT(Table1[[#This Row],[Coin Name]],1)="D"),"Yes","No")</f>
        <v>No</v>
      </c>
      <c r="M177" s="43">
        <f t="shared" si="68"/>
        <v>3.1009999999999999E-2</v>
      </c>
      <c r="N177" s="43">
        <f t="shared" si="69"/>
        <v>3.0639264894773244E-2</v>
      </c>
      <c r="O177" s="43" t="str">
        <f t="shared" si="70"/>
        <v>Up to $10</v>
      </c>
      <c r="P177" s="43">
        <f t="shared" si="71"/>
        <v>3.707351052267549E-4</v>
      </c>
      <c r="Q177" s="43">
        <f t="shared" si="72"/>
        <v>-1.21E-2</v>
      </c>
      <c r="R177" s="43" t="str">
        <f t="shared" si="73"/>
        <v>$0-$5</v>
      </c>
      <c r="S177" s="45" t="str">
        <f t="shared" si="74"/>
        <v>&gt;$50</v>
      </c>
    </row>
    <row r="178" spans="1:19" x14ac:dyDescent="0.35">
      <c r="A178" s="43" t="s">
        <v>183</v>
      </c>
      <c r="B178" s="43" t="s">
        <v>371</v>
      </c>
      <c r="C178" s="43" t="s">
        <v>568</v>
      </c>
      <c r="D178" s="44">
        <v>2.9999999999999997E-4</v>
      </c>
      <c r="E178" s="43">
        <f>D178</f>
        <v>2.9999999999999997E-4</v>
      </c>
      <c r="F178" s="43">
        <f t="shared" si="66"/>
        <v>-2.9999999999999997E-4</v>
      </c>
      <c r="G178" s="43">
        <f t="shared" si="67"/>
        <v>2.9999999999999997E-4</v>
      </c>
      <c r="H178" s="43" t="s">
        <v>742</v>
      </c>
      <c r="I178" s="43" t="s">
        <v>924</v>
      </c>
      <c r="J178" s="43">
        <f>IFERROR(VALUE(SUBSTITUTE(SUBSTITUTE(Table1[[#This Row],[Volume (24h) USD]],"$",""),",","")),0)</f>
        <v>117957</v>
      </c>
      <c r="K178" s="43" t="s">
        <v>1118</v>
      </c>
      <c r="L178" s="43" t="str">
        <f>IF(OR(LEFT(Table1[[#This Row],[Coin Name]],1)="A",LEFT(Table1[[#This Row],[Coin Name]],1)="E",LEFT(Table1[[#This Row],[Coin Name]],1)="I",LEFT(Table1[[#This Row],[Coin Name]],1)="O",LEFT(Table1[[#This Row],[Coin Name]],1)="U",LEFT(Table1[[#This Row],[Coin Name]],1)="B",LEFT(Table1[[#This Row],[Coin Name]],1)="C",LEFT(Table1[[#This Row],[Coin Name]],1)="D"),"Yes","No")</f>
        <v>No</v>
      </c>
      <c r="M178" s="43">
        <f t="shared" si="68"/>
        <v>1.5070000000000001E-3</v>
      </c>
      <c r="N178" s="43">
        <f t="shared" si="69"/>
        <v>1.5065480355893233E-3</v>
      </c>
      <c r="O178" s="43" t="str">
        <f t="shared" si="70"/>
        <v>Up to $10</v>
      </c>
      <c r="P178" s="43">
        <f t="shared" si="71"/>
        <v>4.5196441067680594E-7</v>
      </c>
      <c r="Q178" s="43">
        <f t="shared" si="72"/>
        <v>-2.9999999999999997E-4</v>
      </c>
      <c r="R178" s="43" t="str">
        <f t="shared" si="73"/>
        <v>$0-$5</v>
      </c>
      <c r="S178" s="45" t="str">
        <f t="shared" si="74"/>
        <v>&gt;$50</v>
      </c>
    </row>
    <row r="179" spans="1:19" x14ac:dyDescent="0.35">
      <c r="A179" s="43" t="s">
        <v>108</v>
      </c>
      <c r="B179" s="43" t="s">
        <v>304</v>
      </c>
      <c r="C179" s="43" t="s">
        <v>493</v>
      </c>
      <c r="D179" s="44">
        <v>1E-4</v>
      </c>
      <c r="E179" s="43">
        <f>D179</f>
        <v>1E-4</v>
      </c>
      <c r="F179" s="43">
        <f t="shared" si="66"/>
        <v>-1E-4</v>
      </c>
      <c r="G179" s="43">
        <f t="shared" si="67"/>
        <v>1E-4</v>
      </c>
      <c r="H179" s="43" t="s">
        <v>692</v>
      </c>
      <c r="I179" s="43" t="s">
        <v>853</v>
      </c>
      <c r="J179" s="43">
        <f>IFERROR(VALUE(SUBSTITUTE(SUBSTITUTE(Table1[[#This Row],[Volume (24h) USD]],"$",""),",","")),0)</f>
        <v>3185</v>
      </c>
      <c r="K179" s="43" t="s">
        <v>1046</v>
      </c>
      <c r="L179" s="43" t="str">
        <f>IF(OR(LEFT(Table1[[#This Row],[Coin Name]],1)="A",LEFT(Table1[[#This Row],[Coin Name]],1)="E",LEFT(Table1[[#This Row],[Coin Name]],1)="I",LEFT(Table1[[#This Row],[Coin Name]],1)="O",LEFT(Table1[[#This Row],[Coin Name]],1)="U",LEFT(Table1[[#This Row],[Coin Name]],1)="B",LEFT(Table1[[#This Row],[Coin Name]],1)="C",LEFT(Table1[[#This Row],[Coin Name]],1)="D"),"Yes","No")</f>
        <v>Yes</v>
      </c>
      <c r="M179" s="43">
        <f t="shared" si="68"/>
        <v>0.18229999999999999</v>
      </c>
      <c r="N179" s="43">
        <f t="shared" si="69"/>
        <v>0.18228177182281771</v>
      </c>
      <c r="O179" s="43" t="str">
        <f t="shared" si="70"/>
        <v>Up to $10</v>
      </c>
      <c r="P179" s="43">
        <f t="shared" si="71"/>
        <v>1.8228177182277872E-5</v>
      </c>
      <c r="Q179" s="43">
        <f t="shared" si="72"/>
        <v>-1E-4</v>
      </c>
      <c r="R179" s="43" t="str">
        <f t="shared" si="73"/>
        <v>$0-$5</v>
      </c>
      <c r="S179" s="45" t="str">
        <f>IF(M179&lt;=0.05,"$0-$0.05",IF(M179&lt;=0.5,"$0.05-$0.5",IF(M179&lt;=5,"$0.5-$5",IF(M179&lt;=50,"$5-$50","&gt;$50"))))</f>
        <v>$0.05-$0.5</v>
      </c>
    </row>
    <row r="180" spans="1:19" x14ac:dyDescent="0.35">
      <c r="A180" s="43" t="s">
        <v>185</v>
      </c>
      <c r="B180" s="43" t="s">
        <v>373</v>
      </c>
      <c r="C180" s="43" t="s">
        <v>570</v>
      </c>
      <c r="D180" s="44">
        <v>9.7000000000000003E-3</v>
      </c>
      <c r="E180" s="43">
        <f>D180</f>
        <v>9.7000000000000003E-3</v>
      </c>
      <c r="F180" s="43">
        <f t="shared" si="66"/>
        <v>-9.7000000000000003E-3</v>
      </c>
      <c r="G180" s="43">
        <f t="shared" si="67"/>
        <v>9.7000000000000003E-3</v>
      </c>
      <c r="H180" s="43" t="s">
        <v>743</v>
      </c>
      <c r="I180" s="43" t="s">
        <v>926</v>
      </c>
      <c r="J180" s="43">
        <f>IFERROR(VALUE(SUBSTITUTE(SUBSTITUTE(Table1[[#This Row],[Volume (24h) USD]],"$",""),",","")),0)</f>
        <v>62197</v>
      </c>
      <c r="K180" s="43" t="s">
        <v>1120</v>
      </c>
      <c r="L180" s="43" t="str">
        <f>IF(OR(LEFT(Table1[[#This Row],[Coin Name]],1)="A",LEFT(Table1[[#This Row],[Coin Name]],1)="E",LEFT(Table1[[#This Row],[Coin Name]],1)="I",LEFT(Table1[[#This Row],[Coin Name]],1)="O",LEFT(Table1[[#This Row],[Coin Name]],1)="U",LEFT(Table1[[#This Row],[Coin Name]],1)="B",LEFT(Table1[[#This Row],[Coin Name]],1)="C",LEFT(Table1[[#This Row],[Coin Name]],1)="D"),"Yes","No")</f>
        <v>No</v>
      </c>
      <c r="M180" s="43">
        <f t="shared" si="68"/>
        <v>2.4190000000000001E-3</v>
      </c>
      <c r="N180" s="43">
        <f t="shared" si="69"/>
        <v>2.3957611171635139E-3</v>
      </c>
      <c r="O180" s="43" t="str">
        <f t="shared" si="70"/>
        <v>Up to $10</v>
      </c>
      <c r="P180" s="43">
        <f t="shared" si="71"/>
        <v>2.3238882836486285E-5</v>
      </c>
      <c r="Q180" s="43">
        <f t="shared" si="72"/>
        <v>-9.7000000000000003E-3</v>
      </c>
      <c r="R180" s="43" t="str">
        <f t="shared" si="73"/>
        <v>$0-$5</v>
      </c>
      <c r="S180" s="45" t="str">
        <f t="shared" si="74"/>
        <v>&gt;$50</v>
      </c>
    </row>
    <row r="181" spans="1:19" x14ac:dyDescent="0.35">
      <c r="A181" s="43" t="s">
        <v>186</v>
      </c>
      <c r="B181" s="43" t="s">
        <v>374</v>
      </c>
      <c r="C181" s="43" t="s">
        <v>571</v>
      </c>
      <c r="D181" s="44">
        <v>0</v>
      </c>
      <c r="E181" s="43">
        <f>D181</f>
        <v>0</v>
      </c>
      <c r="F181" s="43">
        <f t="shared" si="66"/>
        <v>0</v>
      </c>
      <c r="G181" s="43">
        <f t="shared" si="67"/>
        <v>0</v>
      </c>
      <c r="H181" s="43" t="s">
        <v>743</v>
      </c>
      <c r="I181" s="43" t="s">
        <v>927</v>
      </c>
      <c r="J181" s="43">
        <f>IFERROR(VALUE(SUBSTITUTE(SUBSTITUTE(Table1[[#This Row],[Volume (24h) USD]],"$",""),",","")),0)</f>
        <v>109870</v>
      </c>
      <c r="K181" s="43" t="s">
        <v>1121</v>
      </c>
      <c r="L181" s="43" t="str">
        <f>IF(OR(LEFT(Table1[[#This Row],[Coin Name]],1)="A",LEFT(Table1[[#This Row],[Coin Name]],1)="E",LEFT(Table1[[#This Row],[Coin Name]],1)="I",LEFT(Table1[[#This Row],[Coin Name]],1)="O",LEFT(Table1[[#This Row],[Coin Name]],1)="U",LEFT(Table1[[#This Row],[Coin Name]],1)="B",LEFT(Table1[[#This Row],[Coin Name]],1)="C",LEFT(Table1[[#This Row],[Coin Name]],1)="D"),"Yes","No")</f>
        <v>No</v>
      </c>
      <c r="M181" s="43">
        <f t="shared" si="68"/>
        <v>3.1489999999999999E-3</v>
      </c>
      <c r="N181" s="43">
        <f t="shared" si="69"/>
        <v>3.1489999999999999E-3</v>
      </c>
      <c r="O181" s="43" t="str">
        <f t="shared" si="70"/>
        <v>Up to $10</v>
      </c>
      <c r="P181" s="43">
        <f t="shared" si="71"/>
        <v>0</v>
      </c>
      <c r="Q181" s="43">
        <f t="shared" si="72"/>
        <v>0</v>
      </c>
      <c r="R181" s="43" t="str">
        <f t="shared" si="73"/>
        <v>$0-$5</v>
      </c>
      <c r="S181" s="45" t="str">
        <f t="shared" si="74"/>
        <v>&gt;$50</v>
      </c>
    </row>
    <row r="182" spans="1:19" x14ac:dyDescent="0.35">
      <c r="A182" s="43" t="s">
        <v>157</v>
      </c>
      <c r="B182" s="43" t="s">
        <v>349</v>
      </c>
      <c r="C182" s="43" t="s">
        <v>542</v>
      </c>
      <c r="D182" s="44">
        <v>2.0000000000000001E-4</v>
      </c>
      <c r="E182" s="43">
        <f>D182</f>
        <v>2.0000000000000001E-4</v>
      </c>
      <c r="F182" s="43">
        <f t="shared" si="66"/>
        <v>-2.0000000000000001E-4</v>
      </c>
      <c r="G182" s="43">
        <f t="shared" si="67"/>
        <v>2.0000000000000001E-4</v>
      </c>
      <c r="H182" s="43" t="s">
        <v>729</v>
      </c>
      <c r="I182" s="43" t="s">
        <v>900</v>
      </c>
      <c r="J182" s="43">
        <f>IFERROR(VALUE(SUBSTITUTE(SUBSTITUTE(Table1[[#This Row],[Volume (24h) USD]],"$",""),",","")),0)</f>
        <v>2100</v>
      </c>
      <c r="K182" s="43" t="s">
        <v>1095</v>
      </c>
      <c r="L182" s="43" t="str">
        <f>IF(OR(LEFT(Table1[[#This Row],[Coin Name]],1)="A",LEFT(Table1[[#This Row],[Coin Name]],1)="E",LEFT(Table1[[#This Row],[Coin Name]],1)="I",LEFT(Table1[[#This Row],[Coin Name]],1)="O",LEFT(Table1[[#This Row],[Coin Name]],1)="U",LEFT(Table1[[#This Row],[Coin Name]],1)="B",LEFT(Table1[[#This Row],[Coin Name]],1)="C",LEFT(Table1[[#This Row],[Coin Name]],1)="D"),"Yes","No")</f>
        <v>Yes</v>
      </c>
      <c r="M182" s="43">
        <f t="shared" si="68"/>
        <v>8.4449999999999994E-3</v>
      </c>
      <c r="N182" s="43">
        <f t="shared" si="69"/>
        <v>8.4433113377324533E-3</v>
      </c>
      <c r="O182" s="43" t="str">
        <f t="shared" si="70"/>
        <v>Up to $10</v>
      </c>
      <c r="P182" s="43">
        <f t="shared" si="71"/>
        <v>1.6886622675460483E-6</v>
      </c>
      <c r="Q182" s="43">
        <f t="shared" si="72"/>
        <v>-2.0000000000000001E-4</v>
      </c>
      <c r="R182" s="43" t="str">
        <f t="shared" si="73"/>
        <v>$0-$5</v>
      </c>
      <c r="S182" s="45" t="str">
        <f t="shared" ref="S182:S183" si="76">IF(M182&lt;=0.05,"$0-$0.05",IF(M182&lt;=0.5,"$0.05-$0.5",IF(M182&lt;=5,"$0.5-$5",IF(M182&lt;=50,"$5-$50","&gt;$50"))))</f>
        <v>$0-$0.05</v>
      </c>
    </row>
    <row r="183" spans="1:19" x14ac:dyDescent="0.35">
      <c r="A183" s="43" t="s">
        <v>162</v>
      </c>
      <c r="B183" s="43" t="s">
        <v>354</v>
      </c>
      <c r="C183" s="43" t="s">
        <v>547</v>
      </c>
      <c r="D183" s="44">
        <v>2.0000000000000001E-4</v>
      </c>
      <c r="E183" s="43">
        <f>D183</f>
        <v>2.0000000000000001E-4</v>
      </c>
      <c r="F183" s="43">
        <f t="shared" si="66"/>
        <v>-2.0000000000000001E-4</v>
      </c>
      <c r="G183" s="43">
        <f t="shared" si="67"/>
        <v>2.0000000000000001E-4</v>
      </c>
      <c r="H183" s="43" t="s">
        <v>729</v>
      </c>
      <c r="I183" s="43" t="s">
        <v>905</v>
      </c>
      <c r="J183" s="43">
        <f>IFERROR(VALUE(SUBSTITUTE(SUBSTITUTE(Table1[[#This Row],[Volume (24h) USD]],"$",""),",","")),0)</f>
        <v>1659</v>
      </c>
      <c r="K183" s="43" t="s">
        <v>1100</v>
      </c>
      <c r="L183" s="43" t="str">
        <f>IF(OR(LEFT(Table1[[#This Row],[Coin Name]],1)="A",LEFT(Table1[[#This Row],[Coin Name]],1)="E",LEFT(Table1[[#This Row],[Coin Name]],1)="I",LEFT(Table1[[#This Row],[Coin Name]],1)="O",LEFT(Table1[[#This Row],[Coin Name]],1)="U",LEFT(Table1[[#This Row],[Coin Name]],1)="B",LEFT(Table1[[#This Row],[Coin Name]],1)="C",LEFT(Table1[[#This Row],[Coin Name]],1)="D"),"Yes","No")</f>
        <v>Yes</v>
      </c>
      <c r="M183" s="43">
        <f t="shared" si="68"/>
        <v>1.286E-2</v>
      </c>
      <c r="N183" s="43">
        <f t="shared" si="69"/>
        <v>1.285742851429714E-2</v>
      </c>
      <c r="O183" s="43" t="str">
        <f t="shared" si="70"/>
        <v>Up to $10</v>
      </c>
      <c r="P183" s="43">
        <f t="shared" si="71"/>
        <v>2.5714857028596994E-6</v>
      </c>
      <c r="Q183" s="43">
        <f t="shared" si="72"/>
        <v>-2.0000000000000001E-4</v>
      </c>
      <c r="R183" s="43" t="str">
        <f t="shared" si="73"/>
        <v>$0-$5</v>
      </c>
      <c r="S183" s="45" t="str">
        <f t="shared" si="76"/>
        <v>$0-$0.05</v>
      </c>
    </row>
    <row r="184" spans="1:19" x14ac:dyDescent="0.35">
      <c r="A184" s="43" t="s">
        <v>189</v>
      </c>
      <c r="B184" s="43" t="s">
        <v>377</v>
      </c>
      <c r="C184" s="43" t="s">
        <v>574</v>
      </c>
      <c r="D184" s="44">
        <v>2.8E-3</v>
      </c>
      <c r="E184" s="43">
        <f>D184</f>
        <v>2.8E-3</v>
      </c>
      <c r="F184" s="43">
        <f t="shared" si="66"/>
        <v>-2.8E-3</v>
      </c>
      <c r="G184" s="43">
        <f t="shared" si="67"/>
        <v>2.8E-3</v>
      </c>
      <c r="H184" s="43" t="s">
        <v>745</v>
      </c>
      <c r="I184" s="43" t="s">
        <v>930</v>
      </c>
      <c r="J184" s="43">
        <f>IFERROR(VALUE(SUBSTITUTE(SUBSTITUTE(Table1[[#This Row],[Volume (24h) USD]],"$",""),",","")),0)</f>
        <v>201257</v>
      </c>
      <c r="K184" s="43" t="s">
        <v>1124</v>
      </c>
      <c r="L184" s="43" t="str">
        <f>IF(OR(LEFT(Table1[[#This Row],[Coin Name]],1)="A",LEFT(Table1[[#This Row],[Coin Name]],1)="E",LEFT(Table1[[#This Row],[Coin Name]],1)="I",LEFT(Table1[[#This Row],[Coin Name]],1)="O",LEFT(Table1[[#This Row],[Coin Name]],1)="U",LEFT(Table1[[#This Row],[Coin Name]],1)="B",LEFT(Table1[[#This Row],[Coin Name]],1)="C",LEFT(Table1[[#This Row],[Coin Name]],1)="D"),"Yes","No")</f>
        <v>No</v>
      </c>
      <c r="M184" s="43">
        <f t="shared" si="68"/>
        <v>9.6310000000000007E-3</v>
      </c>
      <c r="N184" s="43">
        <f t="shared" si="69"/>
        <v>9.6041084962106126E-3</v>
      </c>
      <c r="O184" s="43" t="str">
        <f t="shared" si="70"/>
        <v>Up to $10</v>
      </c>
      <c r="P184" s="43">
        <f t="shared" si="71"/>
        <v>2.6891503789388052E-5</v>
      </c>
      <c r="Q184" s="43">
        <f t="shared" si="72"/>
        <v>-2.8E-3</v>
      </c>
      <c r="R184" s="43" t="str">
        <f t="shared" si="73"/>
        <v>$0-$5</v>
      </c>
      <c r="S184" s="45" t="str">
        <f t="shared" si="74"/>
        <v>&gt;$50</v>
      </c>
    </row>
    <row r="185" spans="1:19" x14ac:dyDescent="0.35">
      <c r="A185" s="43" t="s">
        <v>161</v>
      </c>
      <c r="B185" s="43" t="s">
        <v>353</v>
      </c>
      <c r="C185" s="43" t="s">
        <v>546</v>
      </c>
      <c r="D185" s="44">
        <v>3.3399999999999999E-2</v>
      </c>
      <c r="E185" s="43">
        <f>D185</f>
        <v>3.3399999999999999E-2</v>
      </c>
      <c r="F185" s="43">
        <f t="shared" si="66"/>
        <v>-3.3399999999999999E-2</v>
      </c>
      <c r="G185" s="43">
        <f t="shared" si="67"/>
        <v>3.3399999999999999E-2</v>
      </c>
      <c r="H185" s="43" t="s">
        <v>729</v>
      </c>
      <c r="I185" s="43" t="s">
        <v>904</v>
      </c>
      <c r="J185" s="43">
        <f>IFERROR(VALUE(SUBSTITUTE(SUBSTITUTE(Table1[[#This Row],[Volume (24h) USD]],"$",""),",","")),0)</f>
        <v>1614</v>
      </c>
      <c r="K185" s="43" t="s">
        <v>1099</v>
      </c>
      <c r="L185" s="43" t="str">
        <f>IF(OR(LEFT(Table1[[#This Row],[Coin Name]],1)="A",LEFT(Table1[[#This Row],[Coin Name]],1)="E",LEFT(Table1[[#This Row],[Coin Name]],1)="I",LEFT(Table1[[#This Row],[Coin Name]],1)="O",LEFT(Table1[[#This Row],[Coin Name]],1)="U",LEFT(Table1[[#This Row],[Coin Name]],1)="B",LEFT(Table1[[#This Row],[Coin Name]],1)="C",LEFT(Table1[[#This Row],[Coin Name]],1)="D"),"Yes","No")</f>
        <v>Yes</v>
      </c>
      <c r="M185" s="43">
        <f t="shared" si="68"/>
        <v>0.17610000000000001</v>
      </c>
      <c r="N185" s="43">
        <f t="shared" si="69"/>
        <v>0.17040836075091928</v>
      </c>
      <c r="O185" s="43" t="str">
        <f t="shared" si="70"/>
        <v>Up to $10</v>
      </c>
      <c r="P185" s="43">
        <f t="shared" si="71"/>
        <v>5.6916392490807266E-3</v>
      </c>
      <c r="Q185" s="43">
        <f t="shared" si="72"/>
        <v>-3.3399999999999999E-2</v>
      </c>
      <c r="R185" s="43" t="str">
        <f t="shared" si="73"/>
        <v>$0-$5</v>
      </c>
      <c r="S185" s="45" t="str">
        <f t="shared" ref="S185:S187" si="77">IF(M185&lt;=0.05,"$0-$0.05",IF(M185&lt;=0.5,"$0.05-$0.5",IF(M185&lt;=5,"$0.5-$5",IF(M185&lt;=50,"$5-$50","&gt;$50"))))</f>
        <v>$0.05-$0.5</v>
      </c>
    </row>
    <row r="186" spans="1:19" x14ac:dyDescent="0.35">
      <c r="A186" s="43" t="s">
        <v>154</v>
      </c>
      <c r="B186" s="43" t="s">
        <v>347</v>
      </c>
      <c r="C186" s="43" t="s">
        <v>539</v>
      </c>
      <c r="D186" s="44">
        <v>1E-3</v>
      </c>
      <c r="E186" s="43">
        <f>D186</f>
        <v>1E-3</v>
      </c>
      <c r="F186" s="43">
        <f t="shared" si="66"/>
        <v>-1E-3</v>
      </c>
      <c r="G186" s="43">
        <f t="shared" si="67"/>
        <v>1E-3</v>
      </c>
      <c r="H186" s="43" t="s">
        <v>724</v>
      </c>
      <c r="I186" s="43" t="s">
        <v>897</v>
      </c>
      <c r="J186" s="43">
        <f>IFERROR(VALUE(SUBSTITUTE(SUBSTITUTE(Table1[[#This Row],[Volume (24h) USD]],"$",""),",","")),0)</f>
        <v>658</v>
      </c>
      <c r="K186" s="43" t="s">
        <v>1092</v>
      </c>
      <c r="L186" s="43" t="str">
        <f>IF(OR(LEFT(Table1[[#This Row],[Coin Name]],1)="A",LEFT(Table1[[#This Row],[Coin Name]],1)="E",LEFT(Table1[[#This Row],[Coin Name]],1)="I",LEFT(Table1[[#This Row],[Coin Name]],1)="O",LEFT(Table1[[#This Row],[Coin Name]],1)="U",LEFT(Table1[[#This Row],[Coin Name]],1)="B",LEFT(Table1[[#This Row],[Coin Name]],1)="C",LEFT(Table1[[#This Row],[Coin Name]],1)="D"),"Yes","No")</f>
        <v>Yes</v>
      </c>
      <c r="M186" s="43">
        <f t="shared" si="68"/>
        <v>2.1639999999999999E-5</v>
      </c>
      <c r="N186" s="43">
        <f t="shared" si="69"/>
        <v>2.1618381618381622E-5</v>
      </c>
      <c r="O186" s="43" t="str">
        <f t="shared" si="70"/>
        <v>Up to $10</v>
      </c>
      <c r="P186" s="43">
        <f t="shared" si="71"/>
        <v>2.1618381618377681E-8</v>
      </c>
      <c r="Q186" s="43">
        <f t="shared" si="72"/>
        <v>-1E-3</v>
      </c>
      <c r="R186" s="43" t="str">
        <f t="shared" si="73"/>
        <v>$0-$5</v>
      </c>
      <c r="S186" s="45" t="str">
        <f t="shared" si="77"/>
        <v>$0-$0.05</v>
      </c>
    </row>
    <row r="187" spans="1:19" x14ac:dyDescent="0.35">
      <c r="A187" s="43" t="s">
        <v>173</v>
      </c>
      <c r="B187" s="43" t="s">
        <v>364</v>
      </c>
      <c r="C187" s="43" t="s">
        <v>558</v>
      </c>
      <c r="D187" s="44">
        <v>4.0000000000000002E-4</v>
      </c>
      <c r="E187" s="43">
        <f>D187</f>
        <v>4.0000000000000002E-4</v>
      </c>
      <c r="F187" s="43">
        <f t="shared" si="66"/>
        <v>-4.0000000000000002E-4</v>
      </c>
      <c r="G187" s="43">
        <f t="shared" si="67"/>
        <v>4.0000000000000002E-4</v>
      </c>
      <c r="H187" s="43" t="s">
        <v>738</v>
      </c>
      <c r="I187" s="43" t="s">
        <v>915</v>
      </c>
      <c r="J187" s="43">
        <f>IFERROR(VALUE(SUBSTITUTE(SUBSTITUTE(Table1[[#This Row],[Volume (24h) USD]],"$",""),",","")),0)</f>
        <v>287</v>
      </c>
      <c r="K187" s="43" t="s">
        <v>1110</v>
      </c>
      <c r="L187" s="43" t="str">
        <f>IF(OR(LEFT(Table1[[#This Row],[Coin Name]],1)="A",LEFT(Table1[[#This Row],[Coin Name]],1)="E",LEFT(Table1[[#This Row],[Coin Name]],1)="I",LEFT(Table1[[#This Row],[Coin Name]],1)="O",LEFT(Table1[[#This Row],[Coin Name]],1)="U",LEFT(Table1[[#This Row],[Coin Name]],1)="B",LEFT(Table1[[#This Row],[Coin Name]],1)="C",LEFT(Table1[[#This Row],[Coin Name]],1)="D"),"Yes","No")</f>
        <v>Yes</v>
      </c>
      <c r="M187" s="43">
        <f t="shared" si="68"/>
        <v>5.2623999999999997E-2</v>
      </c>
      <c r="N187" s="43">
        <f t="shared" si="69"/>
        <v>5.2602958816473408E-2</v>
      </c>
      <c r="O187" s="43" t="str">
        <f t="shared" si="70"/>
        <v>Up to $10</v>
      </c>
      <c r="P187" s="43">
        <f t="shared" si="71"/>
        <v>2.104118352658918E-5</v>
      </c>
      <c r="Q187" s="43">
        <f t="shared" si="72"/>
        <v>-4.0000000000000002E-4</v>
      </c>
      <c r="R187" s="43" t="str">
        <f t="shared" si="73"/>
        <v>$0-$5</v>
      </c>
      <c r="S187" s="45" t="str">
        <f t="shared" si="77"/>
        <v>$0.05-$0.5</v>
      </c>
    </row>
    <row r="188" spans="1:19" x14ac:dyDescent="0.35">
      <c r="A188" s="43" t="s">
        <v>193</v>
      </c>
      <c r="B188" s="43" t="s">
        <v>380</v>
      </c>
      <c r="C188" s="43" t="s">
        <v>578</v>
      </c>
      <c r="D188" s="44">
        <v>1.0999999999999999E-2</v>
      </c>
      <c r="E188" s="43">
        <f>D188</f>
        <v>1.0999999999999999E-2</v>
      </c>
      <c r="F188" s="43">
        <f t="shared" si="66"/>
        <v>-1.0999999999999999E-2</v>
      </c>
      <c r="G188" s="43">
        <f t="shared" si="67"/>
        <v>1.0999999999999999E-2</v>
      </c>
      <c r="H188" s="43" t="s">
        <v>746</v>
      </c>
      <c r="I188" s="43" t="s">
        <v>934</v>
      </c>
      <c r="J188" s="43">
        <f>IFERROR(VALUE(SUBSTITUTE(SUBSTITUTE(Table1[[#This Row],[Volume (24h) USD]],"$",""),",","")),0)</f>
        <v>43846</v>
      </c>
      <c r="K188" s="43" t="s">
        <v>1127</v>
      </c>
      <c r="L188" s="43" t="str">
        <f>IF(OR(LEFT(Table1[[#This Row],[Coin Name]],1)="A",LEFT(Table1[[#This Row],[Coin Name]],1)="E",LEFT(Table1[[#This Row],[Coin Name]],1)="I",LEFT(Table1[[#This Row],[Coin Name]],1)="O",LEFT(Table1[[#This Row],[Coin Name]],1)="U",LEFT(Table1[[#This Row],[Coin Name]],1)="B",LEFT(Table1[[#This Row],[Coin Name]],1)="C",LEFT(Table1[[#This Row],[Coin Name]],1)="D"),"Yes","No")</f>
        <v>No</v>
      </c>
      <c r="M188" s="43">
        <f t="shared" si="68"/>
        <v>7.633E-3</v>
      </c>
      <c r="N188" s="43">
        <f t="shared" si="69"/>
        <v>7.5499505440158269E-3</v>
      </c>
      <c r="O188" s="43" t="str">
        <f t="shared" si="70"/>
        <v>Up to $10</v>
      </c>
      <c r="P188" s="43">
        <f t="shared" si="71"/>
        <v>8.3049455984173133E-5</v>
      </c>
      <c r="Q188" s="43">
        <f t="shared" si="72"/>
        <v>-1.0999999999999999E-2</v>
      </c>
      <c r="R188" s="43" t="str">
        <f t="shared" si="73"/>
        <v>$0-$5</v>
      </c>
      <c r="S188" s="45" t="str">
        <f t="shared" si="74"/>
        <v>&gt;$50</v>
      </c>
    </row>
    <row r="189" spans="1:19" x14ac:dyDescent="0.35">
      <c r="A189" s="43" t="s">
        <v>194</v>
      </c>
      <c r="B189" s="43" t="s">
        <v>381</v>
      </c>
      <c r="C189" s="43" t="s">
        <v>579</v>
      </c>
      <c r="D189" s="44">
        <v>0</v>
      </c>
      <c r="E189" s="43">
        <f>D189</f>
        <v>0</v>
      </c>
      <c r="F189" s="43">
        <f t="shared" si="66"/>
        <v>0</v>
      </c>
      <c r="G189" s="43">
        <f t="shared" si="67"/>
        <v>0</v>
      </c>
      <c r="H189" s="43" t="s">
        <v>747</v>
      </c>
      <c r="I189" s="43" t="s">
        <v>863</v>
      </c>
      <c r="J189" s="43">
        <f>IFERROR(VALUE(SUBSTITUTE(SUBSTITUTE(Table1[[#This Row],[Volume (24h) USD]],"$",""),",","")),0)</f>
        <v>0</v>
      </c>
      <c r="K189" s="43" t="s">
        <v>1128</v>
      </c>
      <c r="L189" s="43" t="str">
        <f>IF(OR(LEFT(Table1[[#This Row],[Coin Name]],1)="A",LEFT(Table1[[#This Row],[Coin Name]],1)="E",LEFT(Table1[[#This Row],[Coin Name]],1)="I",LEFT(Table1[[#This Row],[Coin Name]],1)="O",LEFT(Table1[[#This Row],[Coin Name]],1)="U",LEFT(Table1[[#This Row],[Coin Name]],1)="B",LEFT(Table1[[#This Row],[Coin Name]],1)="C",LEFT(Table1[[#This Row],[Coin Name]],1)="D"),"Yes","No")</f>
        <v>No</v>
      </c>
      <c r="M189" s="43">
        <f t="shared" si="68"/>
        <v>6.391E-3</v>
      </c>
      <c r="N189" s="43">
        <f t="shared" si="69"/>
        <v>6.391E-3</v>
      </c>
      <c r="O189" s="43" t="str">
        <f t="shared" si="70"/>
        <v>Up to $10</v>
      </c>
      <c r="P189" s="43">
        <f t="shared" si="71"/>
        <v>0</v>
      </c>
      <c r="Q189" s="43">
        <f t="shared" si="72"/>
        <v>0</v>
      </c>
      <c r="R189" s="43" t="str">
        <f t="shared" si="73"/>
        <v>$0-$5</v>
      </c>
      <c r="S189" s="45" t="str">
        <f t="shared" si="74"/>
        <v>&gt;$50</v>
      </c>
    </row>
    <row r="190" spans="1:19" x14ac:dyDescent="0.35">
      <c r="A190" s="43" t="s">
        <v>92</v>
      </c>
      <c r="B190" s="43" t="s">
        <v>288</v>
      </c>
      <c r="C190" s="43" t="s">
        <v>477</v>
      </c>
      <c r="D190" s="44">
        <v>2.9999999999999997E-4</v>
      </c>
      <c r="E190" s="43">
        <f>D190</f>
        <v>2.9999999999999997E-4</v>
      </c>
      <c r="F190" s="43">
        <f t="shared" si="66"/>
        <v>-2.9999999999999997E-4</v>
      </c>
      <c r="G190" s="43">
        <f t="shared" si="67"/>
        <v>2.9999999999999997E-4</v>
      </c>
      <c r="H190" s="43" t="s">
        <v>677</v>
      </c>
      <c r="I190" s="43" t="s">
        <v>837</v>
      </c>
      <c r="J190" s="43">
        <f>IFERROR(VALUE(SUBSTITUTE(SUBSTITUTE(Table1[[#This Row],[Volume (24h) USD]],"$",""),",","")),0)</f>
        <v>47</v>
      </c>
      <c r="K190" s="43" t="s">
        <v>1031</v>
      </c>
      <c r="L190" s="43" t="str">
        <f>IF(OR(LEFT(Table1[[#This Row],[Coin Name]],1)="A",LEFT(Table1[[#This Row],[Coin Name]],1)="E",LEFT(Table1[[#This Row],[Coin Name]],1)="I",LEFT(Table1[[#This Row],[Coin Name]],1)="O",LEFT(Table1[[#This Row],[Coin Name]],1)="U",LEFT(Table1[[#This Row],[Coin Name]],1)="B",LEFT(Table1[[#This Row],[Coin Name]],1)="C",LEFT(Table1[[#This Row],[Coin Name]],1)="D"),"Yes","No")</f>
        <v>Yes</v>
      </c>
      <c r="M190" s="43">
        <f t="shared" si="68"/>
        <v>2.8809999999999999E-2</v>
      </c>
      <c r="N190" s="43">
        <f t="shared" si="69"/>
        <v>2.8801359592122364E-2</v>
      </c>
      <c r="O190" s="43" t="str">
        <f t="shared" si="70"/>
        <v>Up to $10</v>
      </c>
      <c r="P190" s="43">
        <f t="shared" si="71"/>
        <v>8.6404078776351756E-6</v>
      </c>
      <c r="Q190" s="43">
        <f t="shared" si="72"/>
        <v>-2.9999999999999997E-4</v>
      </c>
      <c r="R190" s="43" t="str">
        <f t="shared" si="73"/>
        <v>$0-$5</v>
      </c>
      <c r="S190" s="45" t="str">
        <f>IF(M190&lt;=0.05,"$0-$0.05",IF(M190&lt;=0.5,"$0.05-$0.5",IF(M190&lt;=5,"$0.5-$5",IF(M190&lt;=50,"$5-$50","&gt;$50"))))</f>
        <v>$0-$0.05</v>
      </c>
    </row>
    <row r="191" spans="1:19" x14ac:dyDescent="0.35">
      <c r="A191" s="43" t="s">
        <v>196</v>
      </c>
      <c r="B191" s="43" t="s">
        <v>383</v>
      </c>
      <c r="C191" s="43" t="s">
        <v>581</v>
      </c>
      <c r="D191" s="44">
        <v>2E-3</v>
      </c>
      <c r="E191" s="43">
        <f>D191</f>
        <v>2E-3</v>
      </c>
      <c r="F191" s="43">
        <f t="shared" si="66"/>
        <v>-2E-3</v>
      </c>
      <c r="G191" s="43">
        <f t="shared" si="67"/>
        <v>2E-3</v>
      </c>
      <c r="H191" s="43" t="s">
        <v>747</v>
      </c>
      <c r="I191" s="43" t="s">
        <v>935</v>
      </c>
      <c r="J191" s="43">
        <f>IFERROR(VALUE(SUBSTITUTE(SUBSTITUTE(Table1[[#This Row],[Volume (24h) USD]],"$",""),",","")),0)</f>
        <v>606685</v>
      </c>
      <c r="K191" s="43" t="s">
        <v>959</v>
      </c>
      <c r="L191" s="43" t="str">
        <f>IF(OR(LEFT(Table1[[#This Row],[Coin Name]],1)="A",LEFT(Table1[[#This Row],[Coin Name]],1)="E",LEFT(Table1[[#This Row],[Coin Name]],1)="I",LEFT(Table1[[#This Row],[Coin Name]],1)="O",LEFT(Table1[[#This Row],[Coin Name]],1)="U",LEFT(Table1[[#This Row],[Coin Name]],1)="B",LEFT(Table1[[#This Row],[Coin Name]],1)="C",LEFT(Table1[[#This Row],[Coin Name]],1)="D"),"Yes","No")</f>
        <v>No</v>
      </c>
      <c r="M191" s="43">
        <f t="shared" si="68"/>
        <v>1.565E-3</v>
      </c>
      <c r="N191" s="43">
        <f t="shared" si="69"/>
        <v>1.56187624750499E-3</v>
      </c>
      <c r="O191" s="43" t="str">
        <f t="shared" si="70"/>
        <v>Up to $10</v>
      </c>
      <c r="P191" s="43">
        <f t="shared" si="71"/>
        <v>3.123752495009938E-6</v>
      </c>
      <c r="Q191" s="43">
        <f t="shared" si="72"/>
        <v>-2E-3</v>
      </c>
      <c r="R191" s="43" t="str">
        <f t="shared" si="73"/>
        <v>$0-$5</v>
      </c>
      <c r="S191" s="45" t="str">
        <f t="shared" si="74"/>
        <v>&gt;$50</v>
      </c>
    </row>
    <row r="192" spans="1:19" x14ac:dyDescent="0.35">
      <c r="A192" s="43" t="s">
        <v>197</v>
      </c>
      <c r="B192" s="43" t="s">
        <v>197</v>
      </c>
      <c r="C192" s="43" t="s">
        <v>582</v>
      </c>
      <c r="D192" s="44">
        <v>1.6000000000000001E-3</v>
      </c>
      <c r="E192" s="43">
        <f>D192</f>
        <v>1.6000000000000001E-3</v>
      </c>
      <c r="F192" s="43">
        <f t="shared" si="66"/>
        <v>-1.6000000000000001E-3</v>
      </c>
      <c r="G192" s="43">
        <f t="shared" si="67"/>
        <v>1.6000000000000001E-3</v>
      </c>
      <c r="H192" s="43" t="s">
        <v>748</v>
      </c>
      <c r="I192" s="43" t="s">
        <v>936</v>
      </c>
      <c r="J192" s="43">
        <f>IFERROR(VALUE(SUBSTITUTE(SUBSTITUTE(Table1[[#This Row],[Volume (24h) USD]],"$",""),",","")),0)</f>
        <v>86086</v>
      </c>
      <c r="K192" s="43" t="s">
        <v>1130</v>
      </c>
      <c r="L192" s="43" t="str">
        <f>IF(OR(LEFT(Table1[[#This Row],[Coin Name]],1)="A",LEFT(Table1[[#This Row],[Coin Name]],1)="E",LEFT(Table1[[#This Row],[Coin Name]],1)="I",LEFT(Table1[[#This Row],[Coin Name]],1)="O",LEFT(Table1[[#This Row],[Coin Name]],1)="U",LEFT(Table1[[#This Row],[Coin Name]],1)="B",LEFT(Table1[[#This Row],[Coin Name]],1)="C",LEFT(Table1[[#This Row],[Coin Name]],1)="D"),"Yes","No")</f>
        <v>No</v>
      </c>
      <c r="M192" s="43">
        <f t="shared" si="68"/>
        <v>4.2460000000000002E-4</v>
      </c>
      <c r="N192" s="43">
        <f t="shared" si="69"/>
        <v>4.2392172523961663E-4</v>
      </c>
      <c r="O192" s="43" t="str">
        <f t="shared" si="70"/>
        <v>Up to $10</v>
      </c>
      <c r="P192" s="43">
        <f t="shared" si="71"/>
        <v>6.7827476038338644E-7</v>
      </c>
      <c r="Q192" s="43">
        <f t="shared" si="72"/>
        <v>-1.6000000000000001E-3</v>
      </c>
      <c r="R192" s="43" t="str">
        <f t="shared" si="73"/>
        <v>$0-$5</v>
      </c>
      <c r="S192" s="45" t="str">
        <f t="shared" si="74"/>
        <v>&gt;$50</v>
      </c>
    </row>
    <row r="193" spans="1:19" x14ac:dyDescent="0.35">
      <c r="A193" s="43" t="s">
        <v>188</v>
      </c>
      <c r="B193" s="43" t="s">
        <v>376</v>
      </c>
      <c r="C193" s="43" t="s">
        <v>573</v>
      </c>
      <c r="D193" s="44">
        <v>0</v>
      </c>
      <c r="E193" s="43">
        <f>D193</f>
        <v>0</v>
      </c>
      <c r="F193" s="43">
        <f t="shared" si="66"/>
        <v>0</v>
      </c>
      <c r="G193" s="43">
        <f t="shared" si="67"/>
        <v>0</v>
      </c>
      <c r="H193" s="43" t="s">
        <v>745</v>
      </c>
      <c r="I193" s="43" t="s">
        <v>929</v>
      </c>
      <c r="J193" s="43">
        <f>IFERROR(VALUE(SUBSTITUTE(SUBSTITUTE(Table1[[#This Row],[Volume (24h) USD]],"$",""),",","")),0)</f>
        <v>36</v>
      </c>
      <c r="K193" s="43" t="s">
        <v>1123</v>
      </c>
      <c r="L193" s="43" t="str">
        <f>IF(OR(LEFT(Table1[[#This Row],[Coin Name]],1)="A",LEFT(Table1[[#This Row],[Coin Name]],1)="E",LEFT(Table1[[#This Row],[Coin Name]],1)="I",LEFT(Table1[[#This Row],[Coin Name]],1)="O",LEFT(Table1[[#This Row],[Coin Name]],1)="U",LEFT(Table1[[#This Row],[Coin Name]],1)="B",LEFT(Table1[[#This Row],[Coin Name]],1)="C",LEFT(Table1[[#This Row],[Coin Name]],1)="D"),"Yes","No")</f>
        <v>Yes</v>
      </c>
      <c r="M193" s="43">
        <f t="shared" si="68"/>
        <v>6.6490000000000004E-3</v>
      </c>
      <c r="N193" s="43">
        <f t="shared" si="69"/>
        <v>6.6490000000000004E-3</v>
      </c>
      <c r="O193" s="43" t="str">
        <f t="shared" si="70"/>
        <v>Up to $10</v>
      </c>
      <c r="P193" s="43">
        <f t="shared" si="71"/>
        <v>0</v>
      </c>
      <c r="Q193" s="43">
        <f t="shared" si="72"/>
        <v>0</v>
      </c>
      <c r="R193" s="43" t="str">
        <f t="shared" si="73"/>
        <v>$0-$5</v>
      </c>
      <c r="S193" s="45" t="str">
        <f>IF(M193&lt;=0.05,"$0-$0.05",IF(M193&lt;=0.5,"$0.05-$0.5",IF(M193&lt;=5,"$0.5-$5",IF(M193&lt;=50,"$5-$50","&gt;$50"))))</f>
        <v>$0-$0.05</v>
      </c>
    </row>
    <row r="194" spans="1:19" x14ac:dyDescent="0.35">
      <c r="A194" s="43" t="s">
        <v>199</v>
      </c>
      <c r="B194" s="43" t="s">
        <v>385</v>
      </c>
      <c r="C194" s="43" t="s">
        <v>584</v>
      </c>
      <c r="D194" s="44">
        <v>4.3E-3</v>
      </c>
      <c r="E194" s="43">
        <f>D194</f>
        <v>4.3E-3</v>
      </c>
      <c r="F194" s="43">
        <f t="shared" ref="F194:F201" si="78">-D194</f>
        <v>-4.3E-3</v>
      </c>
      <c r="G194" s="43">
        <f t="shared" ref="G194:G201" si="79">D194</f>
        <v>4.3E-3</v>
      </c>
      <c r="H194" s="43" t="s">
        <v>748</v>
      </c>
      <c r="I194" s="43" t="s">
        <v>938</v>
      </c>
      <c r="J194" s="43">
        <f>IFERROR(VALUE(SUBSTITUTE(SUBSTITUTE(Table1[[#This Row],[Volume (24h) USD]],"$",""),",","")),0)</f>
        <v>150756</v>
      </c>
      <c r="K194" s="43" t="s">
        <v>1132</v>
      </c>
      <c r="L194" s="43" t="str">
        <f>IF(OR(LEFT(Table1[[#This Row],[Coin Name]],1)="A",LEFT(Table1[[#This Row],[Coin Name]],1)="E",LEFT(Table1[[#This Row],[Coin Name]],1)="I",LEFT(Table1[[#This Row],[Coin Name]],1)="O",LEFT(Table1[[#This Row],[Coin Name]],1)="U",LEFT(Table1[[#This Row],[Coin Name]],1)="B",LEFT(Table1[[#This Row],[Coin Name]],1)="C",LEFT(Table1[[#This Row],[Coin Name]],1)="D"),"Yes","No")</f>
        <v>No</v>
      </c>
      <c r="M194" s="43">
        <f t="shared" ref="M194:M201" si="80">VALUE(SUBSTITUTE(C194,"$",""))</f>
        <v>4.9459999999999999E-4</v>
      </c>
      <c r="N194" s="43">
        <f t="shared" ref="N194:N225" si="81">M194/(1+D194)</f>
        <v>4.9248232599820774E-4</v>
      </c>
      <c r="O194" s="43" t="str">
        <f t="shared" ref="O194:O201" si="82">IF(M194&lt;10,"Up to $10","&gt;= $10")</f>
        <v>Up to $10</v>
      </c>
      <c r="P194" s="43">
        <f t="shared" ref="P194:P201" si="83">M194-N194</f>
        <v>2.1176740017922512E-6</v>
      </c>
      <c r="Q194" s="43">
        <f t="shared" ref="Q194:Q201" si="84">F194</f>
        <v>-4.3E-3</v>
      </c>
      <c r="R194" s="43" t="str">
        <f t="shared" ref="R194:R201" si="85">IF(M194&lt;=5,"$0-$5","&gt;$5")</f>
        <v>$0-$5</v>
      </c>
      <c r="S194" s="45" t="str">
        <f t="shared" ref="S194:S201" si="86">IF(C194&lt;=0.05,"$0-$0.05",
IF(C194&lt;=0.5,"$0.05-$0.5",
IF(C194&lt;=5,"$0.5-$5",
IF(C194&lt;=50,"$5-$50","&gt;$50"))))</f>
        <v>&gt;$50</v>
      </c>
    </row>
    <row r="195" spans="1:19" x14ac:dyDescent="0.35">
      <c r="A195" s="43" t="s">
        <v>118</v>
      </c>
      <c r="B195" s="43" t="s">
        <v>314</v>
      </c>
      <c r="C195" s="43" t="s">
        <v>503</v>
      </c>
      <c r="D195" s="44">
        <v>0</v>
      </c>
      <c r="E195" s="43">
        <f>D195</f>
        <v>0</v>
      </c>
      <c r="F195" s="43">
        <f t="shared" si="78"/>
        <v>0</v>
      </c>
      <c r="G195" s="43">
        <f t="shared" si="79"/>
        <v>0</v>
      </c>
      <c r="H195" s="43" t="s">
        <v>699</v>
      </c>
      <c r="I195" s="43" t="s">
        <v>863</v>
      </c>
      <c r="J195" s="43">
        <f>IFERROR(VALUE(SUBSTITUTE(SUBSTITUTE(Table1[[#This Row],[Volume (24h) USD]],"$",""),",","")),0)</f>
        <v>0</v>
      </c>
      <c r="K195" s="43" t="s">
        <v>1056</v>
      </c>
      <c r="L195" s="43" t="str">
        <f>IF(OR(LEFT(Table1[[#This Row],[Coin Name]],1)="A",LEFT(Table1[[#This Row],[Coin Name]],1)="E",LEFT(Table1[[#This Row],[Coin Name]],1)="I",LEFT(Table1[[#This Row],[Coin Name]],1)="O",LEFT(Table1[[#This Row],[Coin Name]],1)="U",LEFT(Table1[[#This Row],[Coin Name]],1)="B",LEFT(Table1[[#This Row],[Coin Name]],1)="C",LEFT(Table1[[#This Row],[Coin Name]],1)="D"),"Yes","No")</f>
        <v>Yes</v>
      </c>
      <c r="M195" s="43">
        <f t="shared" si="80"/>
        <v>0.1065</v>
      </c>
      <c r="N195" s="43">
        <f t="shared" si="81"/>
        <v>0.1065</v>
      </c>
      <c r="O195" s="43" t="str">
        <f t="shared" si="82"/>
        <v>Up to $10</v>
      </c>
      <c r="P195" s="43">
        <f t="shared" si="83"/>
        <v>0</v>
      </c>
      <c r="Q195" s="43">
        <f t="shared" si="84"/>
        <v>0</v>
      </c>
      <c r="R195" s="43" t="str">
        <f t="shared" si="85"/>
        <v>$0-$5</v>
      </c>
      <c r="S195" s="45" t="str">
        <f>IF(M195&lt;=0.05,"$0-$0.05",IF(M195&lt;=0.5,"$0.05-$0.5",IF(M195&lt;=5,"$0.5-$5",IF(M195&lt;=50,"$5-$50","&gt;$50"))))</f>
        <v>$0.05-$0.5</v>
      </c>
    </row>
    <row r="196" spans="1:19" x14ac:dyDescent="0.35">
      <c r="A196" s="43" t="s">
        <v>201</v>
      </c>
      <c r="B196" s="43" t="s">
        <v>387</v>
      </c>
      <c r="C196" s="43" t="s">
        <v>586</v>
      </c>
      <c r="D196" s="44">
        <v>1.26E-2</v>
      </c>
      <c r="E196" s="43">
        <f>D196</f>
        <v>1.26E-2</v>
      </c>
      <c r="F196" s="43">
        <f t="shared" si="78"/>
        <v>-1.26E-2</v>
      </c>
      <c r="G196" s="43">
        <f t="shared" si="79"/>
        <v>1.26E-2</v>
      </c>
      <c r="H196" s="43" t="s">
        <v>748</v>
      </c>
      <c r="I196" s="43" t="s">
        <v>940</v>
      </c>
      <c r="J196" s="43">
        <f>IFERROR(VALUE(SUBSTITUTE(SUBSTITUTE(Table1[[#This Row],[Volume (24h) USD]],"$",""),",","")),0)</f>
        <v>18</v>
      </c>
      <c r="K196" s="43" t="s">
        <v>1134</v>
      </c>
      <c r="L196" s="43" t="str">
        <f>IF(OR(LEFT(Table1[[#This Row],[Coin Name]],1)="A",LEFT(Table1[[#This Row],[Coin Name]],1)="E",LEFT(Table1[[#This Row],[Coin Name]],1)="I",LEFT(Table1[[#This Row],[Coin Name]],1)="O",LEFT(Table1[[#This Row],[Coin Name]],1)="U",LEFT(Table1[[#This Row],[Coin Name]],1)="B",LEFT(Table1[[#This Row],[Coin Name]],1)="C",LEFT(Table1[[#This Row],[Coin Name]],1)="D"),"Yes","No")</f>
        <v>No</v>
      </c>
      <c r="M196" s="43">
        <f t="shared" si="80"/>
        <v>4.4560000000000002E-2</v>
      </c>
      <c r="N196" s="43">
        <f t="shared" si="81"/>
        <v>4.4005530317993292E-2</v>
      </c>
      <c r="O196" s="43" t="str">
        <f t="shared" si="82"/>
        <v>Up to $10</v>
      </c>
      <c r="P196" s="43">
        <f t="shared" si="83"/>
        <v>5.5446968200670993E-4</v>
      </c>
      <c r="Q196" s="43">
        <f t="shared" si="84"/>
        <v>-1.26E-2</v>
      </c>
      <c r="R196" s="43" t="str">
        <f t="shared" si="85"/>
        <v>$0-$5</v>
      </c>
      <c r="S196" s="45" t="str">
        <f t="shared" si="86"/>
        <v>&gt;$50</v>
      </c>
    </row>
    <row r="197" spans="1:19" x14ac:dyDescent="0.35">
      <c r="A197" s="43" t="s">
        <v>195</v>
      </c>
      <c r="B197" s="43" t="s">
        <v>382</v>
      </c>
      <c r="C197" s="43" t="s">
        <v>580</v>
      </c>
      <c r="D197" s="44">
        <v>0</v>
      </c>
      <c r="E197" s="43">
        <f>D197</f>
        <v>0</v>
      </c>
      <c r="F197" s="43">
        <f t="shared" si="78"/>
        <v>0</v>
      </c>
      <c r="G197" s="43">
        <f t="shared" si="79"/>
        <v>0</v>
      </c>
      <c r="H197" s="43" t="s">
        <v>747</v>
      </c>
      <c r="I197" s="43" t="s">
        <v>863</v>
      </c>
      <c r="J197" s="43">
        <f>IFERROR(VALUE(SUBSTITUTE(SUBSTITUTE(Table1[[#This Row],[Volume (24h) USD]],"$",""),",","")),0)</f>
        <v>0</v>
      </c>
      <c r="K197" s="43" t="s">
        <v>1129</v>
      </c>
      <c r="L197" s="43" t="str">
        <f>IF(OR(LEFT(Table1[[#This Row],[Coin Name]],1)="A",LEFT(Table1[[#This Row],[Coin Name]],1)="E",LEFT(Table1[[#This Row],[Coin Name]],1)="I",LEFT(Table1[[#This Row],[Coin Name]],1)="O",LEFT(Table1[[#This Row],[Coin Name]],1)="U",LEFT(Table1[[#This Row],[Coin Name]],1)="B",LEFT(Table1[[#This Row],[Coin Name]],1)="C",LEFT(Table1[[#This Row],[Coin Name]],1)="D"),"Yes","No")</f>
        <v>Yes</v>
      </c>
      <c r="M197" s="43">
        <f t="shared" si="80"/>
        <v>3.8420000000000001E-4</v>
      </c>
      <c r="N197" s="43">
        <f t="shared" si="81"/>
        <v>3.8420000000000001E-4</v>
      </c>
      <c r="O197" s="43" t="str">
        <f t="shared" si="82"/>
        <v>Up to $10</v>
      </c>
      <c r="P197" s="43">
        <f t="shared" si="83"/>
        <v>0</v>
      </c>
      <c r="Q197" s="43">
        <f t="shared" si="84"/>
        <v>0</v>
      </c>
      <c r="R197" s="43" t="str">
        <f t="shared" si="85"/>
        <v>$0-$5</v>
      </c>
      <c r="S197" s="45" t="str">
        <f>IF(M197&lt;=0.05,"$0-$0.05",IF(M197&lt;=0.5,"$0.05-$0.5",IF(M197&lt;=5,"$0.5-$5",IF(M197&lt;=50,"$5-$50","&gt;$50"))))</f>
        <v>$0-$0.05</v>
      </c>
    </row>
    <row r="198" spans="1:19" x14ac:dyDescent="0.35">
      <c r="A198" s="43" t="s">
        <v>203</v>
      </c>
      <c r="B198" s="43" t="s">
        <v>389</v>
      </c>
      <c r="C198" s="43" t="s">
        <v>588</v>
      </c>
      <c r="D198" s="44">
        <v>0.1177</v>
      </c>
      <c r="E198" s="43">
        <f>D198</f>
        <v>0.1177</v>
      </c>
      <c r="F198" s="43">
        <f t="shared" si="78"/>
        <v>-0.1177</v>
      </c>
      <c r="G198" s="43">
        <f t="shared" si="79"/>
        <v>0.1177</v>
      </c>
      <c r="H198" s="43" t="s">
        <v>749</v>
      </c>
      <c r="I198" s="43" t="s">
        <v>942</v>
      </c>
      <c r="J198" s="43">
        <f>IFERROR(VALUE(SUBSTITUTE(SUBSTITUTE(Table1[[#This Row],[Volume (24h) USD]],"$",""),",","")),0)</f>
        <v>1609979</v>
      </c>
      <c r="K198" s="43" t="s">
        <v>1026</v>
      </c>
      <c r="L198" s="43" t="str">
        <f>IF(OR(LEFT(Table1[[#This Row],[Coin Name]],1)="A",LEFT(Table1[[#This Row],[Coin Name]],1)="E",LEFT(Table1[[#This Row],[Coin Name]],1)="I",LEFT(Table1[[#This Row],[Coin Name]],1)="O",LEFT(Table1[[#This Row],[Coin Name]],1)="U",LEFT(Table1[[#This Row],[Coin Name]],1)="B",LEFT(Table1[[#This Row],[Coin Name]],1)="C",LEFT(Table1[[#This Row],[Coin Name]],1)="D"),"Yes","No")</f>
        <v>No</v>
      </c>
      <c r="M198" s="43">
        <f t="shared" si="80"/>
        <v>1.3799999999999999E-4</v>
      </c>
      <c r="N198" s="43">
        <f t="shared" si="81"/>
        <v>1.234678357340968E-4</v>
      </c>
      <c r="O198" s="43" t="str">
        <f t="shared" si="82"/>
        <v>Up to $10</v>
      </c>
      <c r="P198" s="43">
        <f t="shared" si="83"/>
        <v>1.4532164265903196E-5</v>
      </c>
      <c r="Q198" s="43">
        <f t="shared" si="84"/>
        <v>-0.1177</v>
      </c>
      <c r="R198" s="43" t="str">
        <f t="shared" si="85"/>
        <v>$0-$5</v>
      </c>
      <c r="S198" s="45" t="str">
        <f t="shared" si="86"/>
        <v>&gt;$50</v>
      </c>
    </row>
    <row r="199" spans="1:19" x14ac:dyDescent="0.35">
      <c r="A199" s="43" t="s">
        <v>204</v>
      </c>
      <c r="B199" s="43" t="s">
        <v>390</v>
      </c>
      <c r="C199" s="43" t="s">
        <v>589</v>
      </c>
      <c r="D199" s="44">
        <v>2.9399999999999999E-2</v>
      </c>
      <c r="E199" s="43">
        <f>D199</f>
        <v>2.9399999999999999E-2</v>
      </c>
      <c r="F199" s="43">
        <f t="shared" si="78"/>
        <v>-2.9399999999999999E-2</v>
      </c>
      <c r="G199" s="43">
        <f t="shared" si="79"/>
        <v>2.9399999999999999E-2</v>
      </c>
      <c r="H199" s="43" t="s">
        <v>750</v>
      </c>
      <c r="I199" s="43" t="s">
        <v>943</v>
      </c>
      <c r="J199" s="43">
        <f>IFERROR(VALUE(SUBSTITUTE(SUBSTITUTE(Table1[[#This Row],[Volume (24h) USD]],"$",""),",","")),0)</f>
        <v>32118</v>
      </c>
      <c r="K199" s="43" t="s">
        <v>1136</v>
      </c>
      <c r="L199" s="43" t="str">
        <f>IF(OR(LEFT(Table1[[#This Row],[Coin Name]],1)="A",LEFT(Table1[[#This Row],[Coin Name]],1)="E",LEFT(Table1[[#This Row],[Coin Name]],1)="I",LEFT(Table1[[#This Row],[Coin Name]],1)="O",LEFT(Table1[[#This Row],[Coin Name]],1)="U",LEFT(Table1[[#This Row],[Coin Name]],1)="B",LEFT(Table1[[#This Row],[Coin Name]],1)="C",LEFT(Table1[[#This Row],[Coin Name]],1)="D"),"Yes","No")</f>
        <v>No</v>
      </c>
      <c r="M199" s="43">
        <f t="shared" si="80"/>
        <v>6.2379999999999996E-3</v>
      </c>
      <c r="N199" s="43">
        <f t="shared" si="81"/>
        <v>6.059840683893529E-3</v>
      </c>
      <c r="O199" s="43" t="str">
        <f t="shared" si="82"/>
        <v>Up to $10</v>
      </c>
      <c r="P199" s="43">
        <f t="shared" si="83"/>
        <v>1.7815931610647064E-4</v>
      </c>
      <c r="Q199" s="43">
        <f t="shared" si="84"/>
        <v>-2.9399999999999999E-2</v>
      </c>
      <c r="R199" s="43" t="str">
        <f t="shared" si="85"/>
        <v>$0-$5</v>
      </c>
      <c r="S199" s="45" t="str">
        <f t="shared" si="86"/>
        <v>&gt;$50</v>
      </c>
    </row>
    <row r="200" spans="1:19" x14ac:dyDescent="0.35">
      <c r="A200" s="43" t="s">
        <v>205</v>
      </c>
      <c r="B200" s="43" t="s">
        <v>205</v>
      </c>
      <c r="C200" s="43" t="s">
        <v>590</v>
      </c>
      <c r="D200" s="44">
        <v>7.9000000000000008E-3</v>
      </c>
      <c r="E200" s="43">
        <f>D200</f>
        <v>7.9000000000000008E-3</v>
      </c>
      <c r="F200" s="43">
        <f t="shared" si="78"/>
        <v>-7.9000000000000008E-3</v>
      </c>
      <c r="G200" s="43">
        <f t="shared" si="79"/>
        <v>7.9000000000000008E-3</v>
      </c>
      <c r="H200" s="43" t="s">
        <v>751</v>
      </c>
      <c r="I200" s="43" t="s">
        <v>944</v>
      </c>
      <c r="J200" s="43">
        <f>IFERROR(VALUE(SUBSTITUTE(SUBSTITUTE(Table1[[#This Row],[Volume (24h) USD]],"$",""),",","")),0)</f>
        <v>2223596</v>
      </c>
      <c r="K200" s="43" t="s">
        <v>959</v>
      </c>
      <c r="L200" s="43" t="str">
        <f>IF(OR(LEFT(Table1[[#This Row],[Coin Name]],1)="A",LEFT(Table1[[#This Row],[Coin Name]],1)="E",LEFT(Table1[[#This Row],[Coin Name]],1)="I",LEFT(Table1[[#This Row],[Coin Name]],1)="O",LEFT(Table1[[#This Row],[Coin Name]],1)="U",LEFT(Table1[[#This Row],[Coin Name]],1)="B",LEFT(Table1[[#This Row],[Coin Name]],1)="C",LEFT(Table1[[#This Row],[Coin Name]],1)="D"),"Yes","No")</f>
        <v>No</v>
      </c>
      <c r="M200" s="43">
        <f t="shared" si="80"/>
        <v>1.2199999999999999E-3</v>
      </c>
      <c r="N200" s="43">
        <f t="shared" si="81"/>
        <v>1.2104375434070841E-3</v>
      </c>
      <c r="O200" s="43" t="str">
        <f t="shared" si="82"/>
        <v>Up to $10</v>
      </c>
      <c r="P200" s="43">
        <f t="shared" si="83"/>
        <v>9.5624565929158887E-6</v>
      </c>
      <c r="Q200" s="43">
        <f t="shared" si="84"/>
        <v>-7.9000000000000008E-3</v>
      </c>
      <c r="R200" s="43" t="str">
        <f t="shared" si="85"/>
        <v>$0-$5</v>
      </c>
      <c r="S200" s="45" t="str">
        <f t="shared" si="86"/>
        <v>&gt;$50</v>
      </c>
    </row>
    <row r="201" spans="1:19" x14ac:dyDescent="0.35">
      <c r="A201" s="43" t="s">
        <v>206</v>
      </c>
      <c r="B201" s="43" t="s">
        <v>391</v>
      </c>
      <c r="C201" s="43" t="s">
        <v>591</v>
      </c>
      <c r="D201" s="44">
        <v>2.06E-2</v>
      </c>
      <c r="E201" s="43">
        <f>D201</f>
        <v>2.06E-2</v>
      </c>
      <c r="F201" s="43">
        <f t="shared" si="78"/>
        <v>-2.06E-2</v>
      </c>
      <c r="G201" s="43">
        <f t="shared" si="79"/>
        <v>2.06E-2</v>
      </c>
      <c r="H201" s="43" t="s">
        <v>751</v>
      </c>
      <c r="I201" s="43" t="s">
        <v>945</v>
      </c>
      <c r="J201" s="43">
        <f>IFERROR(VALUE(SUBSTITUTE(SUBSTITUTE(Table1[[#This Row],[Volume (24h) USD]],"$",""),",","")),0)</f>
        <v>1855</v>
      </c>
      <c r="K201" s="43" t="s">
        <v>1137</v>
      </c>
      <c r="L201" s="43" t="str">
        <f>IF(OR(LEFT(Table1[[#This Row],[Coin Name]],1)="A",LEFT(Table1[[#This Row],[Coin Name]],1)="E",LEFT(Table1[[#This Row],[Coin Name]],1)="I",LEFT(Table1[[#This Row],[Coin Name]],1)="O",LEFT(Table1[[#This Row],[Coin Name]],1)="U",LEFT(Table1[[#This Row],[Coin Name]],1)="B",LEFT(Table1[[#This Row],[Coin Name]],1)="C",LEFT(Table1[[#This Row],[Coin Name]],1)="D"),"Yes","No")</f>
        <v>No</v>
      </c>
      <c r="M201" s="43">
        <f t="shared" si="80"/>
        <v>1.532E-2</v>
      </c>
      <c r="N201" s="43">
        <f t="shared" si="81"/>
        <v>1.5010777973740938E-2</v>
      </c>
      <c r="O201" s="43" t="str">
        <f t="shared" si="82"/>
        <v>Up to $10</v>
      </c>
      <c r="P201" s="43">
        <f t="shared" si="83"/>
        <v>3.0922202625906225E-4</v>
      </c>
      <c r="Q201" s="43">
        <f t="shared" si="84"/>
        <v>-2.06E-2</v>
      </c>
      <c r="R201" s="43" t="str">
        <f t="shared" si="85"/>
        <v>$0-$5</v>
      </c>
      <c r="S201" s="45" t="str">
        <f t="shared" si="86"/>
        <v>&gt;$50</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6273-41E7-42CC-BA73-AF83913147E3}">
  <sheetPr codeName="Sheet2"/>
  <dimension ref="A1:H13"/>
  <sheetViews>
    <sheetView workbookViewId="0">
      <selection activeCell="L8" sqref="L8"/>
    </sheetView>
  </sheetViews>
  <sheetFormatPr defaultRowHeight="14.5" x14ac:dyDescent="0.35"/>
  <cols>
    <col min="1" max="1" width="14.1796875" customWidth="1"/>
    <col min="2" max="2" width="13" customWidth="1"/>
  </cols>
  <sheetData>
    <row r="1" spans="1:8" ht="21" x14ac:dyDescent="0.5">
      <c r="D1" s="8" t="s">
        <v>1142</v>
      </c>
      <c r="E1" s="9"/>
      <c r="F1" s="9"/>
      <c r="G1" s="9"/>
      <c r="H1" s="9"/>
    </row>
    <row r="2" spans="1:8" ht="21" x14ac:dyDescent="0.5">
      <c r="D2" s="10"/>
    </row>
    <row r="3" spans="1:8" x14ac:dyDescent="0.35">
      <c r="A3" s="6" t="s">
        <v>0</v>
      </c>
      <c r="B3" s="6" t="s">
        <v>1140</v>
      </c>
    </row>
    <row r="4" spans="1:8" x14ac:dyDescent="0.35">
      <c r="A4" s="2" t="s">
        <v>7</v>
      </c>
      <c r="B4" s="3">
        <v>43170391288</v>
      </c>
      <c r="E4" s="7" t="s">
        <v>1141</v>
      </c>
    </row>
    <row r="5" spans="1:8" x14ac:dyDescent="0.35">
      <c r="A5" s="4" t="s">
        <v>8</v>
      </c>
      <c r="B5" s="5">
        <v>14942260356</v>
      </c>
    </row>
    <row r="6" spans="1:8" x14ac:dyDescent="0.35">
      <c r="A6" s="2" t="s">
        <v>13</v>
      </c>
      <c r="B6" s="3">
        <v>8208315257</v>
      </c>
    </row>
    <row r="7" spans="1:8" x14ac:dyDescent="0.35">
      <c r="A7" s="4" t="s">
        <v>11</v>
      </c>
      <c r="B7" s="5">
        <v>1497928447</v>
      </c>
    </row>
    <row r="8" spans="1:8" x14ac:dyDescent="0.35">
      <c r="A8" s="2" t="s">
        <v>15</v>
      </c>
      <c r="B8" s="3">
        <v>781433558</v>
      </c>
    </row>
    <row r="9" spans="1:8" x14ac:dyDescent="0.35">
      <c r="A9" s="4" t="s">
        <v>16</v>
      </c>
      <c r="B9" s="5">
        <v>539447597</v>
      </c>
    </row>
    <row r="10" spans="1:8" x14ac:dyDescent="0.35">
      <c r="A10" s="2" t="s">
        <v>83</v>
      </c>
      <c r="B10" s="3">
        <v>40860347</v>
      </c>
    </row>
    <row r="11" spans="1:8" x14ac:dyDescent="0.35">
      <c r="A11" s="4" t="s">
        <v>47</v>
      </c>
      <c r="B11" s="5">
        <v>25758134</v>
      </c>
    </row>
    <row r="12" spans="1:8" x14ac:dyDescent="0.35">
      <c r="A12" s="2" t="s">
        <v>25</v>
      </c>
      <c r="B12" s="3">
        <v>25685731</v>
      </c>
    </row>
    <row r="13" spans="1:8" x14ac:dyDescent="0.35">
      <c r="A13" s="30" t="s">
        <v>62</v>
      </c>
      <c r="B13" s="31">
        <v>22680605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2556-F9D6-4011-B734-87502112FE5D}">
  <dimension ref="A1:I12"/>
  <sheetViews>
    <sheetView topLeftCell="A3" zoomScale="101" zoomScaleNormal="213" workbookViewId="0">
      <selection activeCell="G8" sqref="G8"/>
    </sheetView>
  </sheetViews>
  <sheetFormatPr defaultRowHeight="14.5" x14ac:dyDescent="0.35"/>
  <cols>
    <col min="1" max="1" width="17.6328125" customWidth="1"/>
    <col min="2" max="2" width="19.54296875" customWidth="1"/>
    <col min="3" max="3" width="17.26953125" customWidth="1"/>
    <col min="6" max="6" width="24.1796875" customWidth="1"/>
    <col min="7" max="7" width="24" customWidth="1"/>
  </cols>
  <sheetData>
    <row r="1" spans="1:9" ht="23.5" x14ac:dyDescent="0.55000000000000004">
      <c r="A1" s="12" t="s">
        <v>1154</v>
      </c>
      <c r="B1" s="12"/>
      <c r="C1" s="9"/>
      <c r="D1" s="9"/>
      <c r="I1" s="11"/>
    </row>
    <row r="2" spans="1:9" x14ac:dyDescent="0.35">
      <c r="A2" s="13" t="s">
        <v>1155</v>
      </c>
      <c r="B2" s="20" t="s">
        <v>7</v>
      </c>
    </row>
    <row r="3" spans="1:9" x14ac:dyDescent="0.35">
      <c r="A3" s="13" t="s">
        <v>1156</v>
      </c>
      <c r="B3" s="20" t="s">
        <v>8</v>
      </c>
    </row>
    <row r="6" spans="1:9" x14ac:dyDescent="0.35">
      <c r="A6" t="s">
        <v>1144</v>
      </c>
      <c r="B6" t="s">
        <v>1145</v>
      </c>
      <c r="C6" t="s">
        <v>1143</v>
      </c>
    </row>
    <row r="7" spans="1:9" x14ac:dyDescent="0.35">
      <c r="F7" s="14" t="s">
        <v>1151</v>
      </c>
      <c r="G7" s="17">
        <f>ABS(_xlfn.NUMBERVALUE(SUBSTITUTE(B10,"$",""))-_xlfn.NUMBERVALUE(SUBSTITUTE(C10,"$","")))</f>
        <v>28228130932</v>
      </c>
    </row>
    <row r="8" spans="1:9" x14ac:dyDescent="0.35">
      <c r="A8" t="s">
        <v>1146</v>
      </c>
      <c r="B8" t="str">
        <f>_xlfn.XLOOKUP($B$2,'raw data'!$A:$A,'raw data'!$B:$B)</f>
        <v>BTC</v>
      </c>
      <c r="C8" t="str">
        <f>_xlfn.XLOOKUP($B$3,'raw data'!$A:$A,'raw data'!$B:$B)</f>
        <v>ETH</v>
      </c>
      <c r="F8" s="15" t="s">
        <v>1152</v>
      </c>
      <c r="G8" s="18" t="str">
        <f>B11&amp;" vs "&amp;C11</f>
        <v>$2.07T vs $299.51B</v>
      </c>
    </row>
    <row r="9" spans="1:9" x14ac:dyDescent="0.35">
      <c r="A9" t="s">
        <v>1147</v>
      </c>
      <c r="B9" t="str">
        <f>_xlfn.XLOOKUP($B$2,'raw data'!$A:$A,'raw data'!$C:$C)</f>
        <v>$104,058.04</v>
      </c>
      <c r="C9" t="str">
        <f>_xlfn.XLOOKUP($B$3,'raw data'!$A:$A,'raw data'!$C:$C)</f>
        <v>$2,483.59</v>
      </c>
      <c r="F9" s="16" t="s">
        <v>1153</v>
      </c>
      <c r="G9" s="19" t="str">
        <f>B12&amp;" vs "&amp;C12</f>
        <v>19.88M vs 120.72M</v>
      </c>
    </row>
    <row r="10" spans="1:9" x14ac:dyDescent="0.35">
      <c r="A10" t="s">
        <v>1148</v>
      </c>
      <c r="B10" t="str">
        <f>_xlfn.XLOOKUP($B$2,'raw data'!$A:$A,'raw data'!$I:$I)</f>
        <v>$43,170,391,288</v>
      </c>
      <c r="C10" t="str">
        <f>_xlfn.XLOOKUP($B$3,'raw data'!$A:$A,'raw data'!$I:$I)</f>
        <v>$14,942,260,356</v>
      </c>
    </row>
    <row r="11" spans="1:9" x14ac:dyDescent="0.35">
      <c r="A11" t="s">
        <v>1149</v>
      </c>
      <c r="B11" t="str">
        <f>_xlfn.XLOOKUP($B$2,'raw data'!$A:$A,'raw data'!$H:$H)</f>
        <v>$2.07T</v>
      </c>
      <c r="C11" t="str">
        <f>_xlfn.XLOOKUP($B$3,'raw data'!$A:$A,'raw data'!$H:$H)</f>
        <v>$299.51B</v>
      </c>
    </row>
    <row r="12" spans="1:9" x14ac:dyDescent="0.35">
      <c r="A12" t="s">
        <v>1150</v>
      </c>
      <c r="B12" t="str">
        <f>_xlfn.XLOOKUP($B$2,'raw data'!$A:$A,'raw data'!$K:$K)</f>
        <v>19.88M</v>
      </c>
      <c r="C12" t="str">
        <f>_xlfn.XLOOKUP($B$3,'raw data'!$A:$A,'raw data'!$K:$K)</f>
        <v>120.72M</v>
      </c>
    </row>
  </sheetData>
  <dataValidations count="2">
    <dataValidation type="custom" allowBlank="1" showInputMessage="1" showErrorMessage="1" sqref="B3" xr:uid="{94DFC2DB-CF1F-48AB-B87F-3819DFE59225}">
      <formula1>AND(LEN(B2)&gt;=3,LEN(B2)&lt;=10,SUMPRODUCT(--ISNUMBER(MID(B2,ROW($2:$10),1)))=0)</formula1>
    </dataValidation>
    <dataValidation type="custom" allowBlank="1" showInputMessage="1" showErrorMessage="1" sqref="B2" xr:uid="{098200A7-3D1E-4402-8F81-26FF792E60B1}">
      <formula1>AND(LEN(#REF!)&gt;=3,LEN(#REF!)&lt;=10,SUMPRODUCT(--ISNUMBER(MID(#REF!,ROW($2:$10),1)))=0)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2E8D-1FCF-48B1-A472-12F79CB5FD83}">
  <dimension ref="A1:N15"/>
  <sheetViews>
    <sheetView workbookViewId="0">
      <selection activeCell="N11" sqref="N11"/>
    </sheetView>
  </sheetViews>
  <sheetFormatPr defaultRowHeight="14.5" x14ac:dyDescent="0.35"/>
  <cols>
    <col min="1" max="1" width="15.6328125" bestFit="1" customWidth="1"/>
    <col min="2" max="2" width="17.7265625" bestFit="1" customWidth="1"/>
    <col min="14" max="14" width="11.453125" bestFit="1" customWidth="1"/>
  </cols>
  <sheetData>
    <row r="1" spans="1:14" ht="23.5" x14ac:dyDescent="0.55000000000000004">
      <c r="A1" s="12" t="s">
        <v>1162</v>
      </c>
      <c r="B1" s="12"/>
      <c r="C1" s="9"/>
      <c r="D1" s="9"/>
    </row>
    <row r="2" spans="1:14" ht="23.5" x14ac:dyDescent="0.55000000000000004">
      <c r="A2" s="40"/>
      <c r="B2" s="40"/>
      <c r="C2" s="35"/>
      <c r="D2" s="35"/>
    </row>
    <row r="3" spans="1:14" x14ac:dyDescent="0.35">
      <c r="M3" s="29" t="s">
        <v>1165</v>
      </c>
      <c r="N3" s="29"/>
    </row>
    <row r="4" spans="1:14" x14ac:dyDescent="0.35">
      <c r="A4" s="24" t="s">
        <v>1158</v>
      </c>
      <c r="B4" t="s">
        <v>1161</v>
      </c>
      <c r="M4" s="27" t="s">
        <v>1163</v>
      </c>
      <c r="N4" s="27" t="s">
        <v>1164</v>
      </c>
    </row>
    <row r="5" spans="1:14" x14ac:dyDescent="0.35">
      <c r="A5" s="25" t="s">
        <v>13</v>
      </c>
      <c r="B5" s="32">
        <v>8208315257</v>
      </c>
      <c r="M5" s="28" t="s">
        <v>13</v>
      </c>
      <c r="N5" s="28">
        <v>8208315257</v>
      </c>
    </row>
    <row r="6" spans="1:14" x14ac:dyDescent="0.35">
      <c r="A6" s="26" t="s">
        <v>1159</v>
      </c>
      <c r="B6" s="32">
        <v>8208315257</v>
      </c>
      <c r="M6" s="28" t="s">
        <v>15</v>
      </c>
      <c r="N6" s="28">
        <v>781433558</v>
      </c>
    </row>
    <row r="7" spans="1:14" x14ac:dyDescent="0.35">
      <c r="A7" s="25" t="s">
        <v>15</v>
      </c>
      <c r="B7" s="32">
        <v>781433558</v>
      </c>
      <c r="M7" s="28" t="s">
        <v>16</v>
      </c>
      <c r="N7" s="28">
        <v>539447597</v>
      </c>
    </row>
    <row r="8" spans="1:14" ht="29" x14ac:dyDescent="0.35">
      <c r="A8" s="26" t="s">
        <v>1159</v>
      </c>
      <c r="B8" s="32">
        <v>781433558</v>
      </c>
      <c r="M8" s="28" t="s">
        <v>83</v>
      </c>
      <c r="N8" s="28">
        <v>40860347</v>
      </c>
    </row>
    <row r="9" spans="1:14" x14ac:dyDescent="0.35">
      <c r="A9" s="25" t="s">
        <v>16</v>
      </c>
      <c r="B9" s="32">
        <v>539447597</v>
      </c>
      <c r="M9" s="28" t="s">
        <v>47</v>
      </c>
      <c r="N9" s="28">
        <v>25758134</v>
      </c>
    </row>
    <row r="10" spans="1:14" x14ac:dyDescent="0.35">
      <c r="A10" s="26" t="s">
        <v>1159</v>
      </c>
      <c r="B10" s="32">
        <v>539447597</v>
      </c>
      <c r="M10" s="28"/>
      <c r="N10" s="28"/>
    </row>
    <row r="11" spans="1:14" x14ac:dyDescent="0.35">
      <c r="A11" s="25" t="s">
        <v>83</v>
      </c>
      <c r="B11" s="32">
        <v>40860347</v>
      </c>
    </row>
    <row r="12" spans="1:14" x14ac:dyDescent="0.35">
      <c r="A12" s="26" t="s">
        <v>1159</v>
      </c>
      <c r="B12" s="32">
        <v>40860347</v>
      </c>
    </row>
    <row r="13" spans="1:14" x14ac:dyDescent="0.35">
      <c r="A13" s="25" t="s">
        <v>47</v>
      </c>
      <c r="B13" s="32">
        <v>25758134</v>
      </c>
    </row>
    <row r="14" spans="1:14" x14ac:dyDescent="0.35">
      <c r="A14" s="26" t="s">
        <v>1159</v>
      </c>
      <c r="B14" s="32">
        <v>25758134</v>
      </c>
    </row>
    <row r="15" spans="1:14" x14ac:dyDescent="0.35">
      <c r="A15" s="25" t="s">
        <v>1160</v>
      </c>
      <c r="B15" s="32">
        <v>9595814893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9EB0-F7FE-4AEE-81A1-6172AAC26311}">
  <dimension ref="A1:D28"/>
  <sheetViews>
    <sheetView workbookViewId="0">
      <selection activeCell="E2" sqref="E2"/>
    </sheetView>
  </sheetViews>
  <sheetFormatPr defaultRowHeight="14.5" x14ac:dyDescent="0.35"/>
  <cols>
    <col min="1" max="1" width="16.36328125" bestFit="1" customWidth="1"/>
    <col min="2" max="2" width="17.7265625" bestFit="1" customWidth="1"/>
  </cols>
  <sheetData>
    <row r="1" spans="1:4" ht="23.5" x14ac:dyDescent="0.55000000000000004">
      <c r="A1" s="12" t="s">
        <v>1171</v>
      </c>
      <c r="B1" s="12"/>
      <c r="C1" s="9"/>
      <c r="D1" s="9"/>
    </row>
    <row r="3" spans="1:4" x14ac:dyDescent="0.35">
      <c r="A3" s="41" t="s">
        <v>0</v>
      </c>
      <c r="B3" s="41" t="str">
        <f>A8</f>
        <v>Bitcoin</v>
      </c>
    </row>
    <row r="4" spans="1:4" x14ac:dyDescent="0.35">
      <c r="A4" s="41" t="s">
        <v>1</v>
      </c>
      <c r="B4" s="41" t="str">
        <f>A9</f>
        <v>BTC</v>
      </c>
    </row>
    <row r="5" spans="1:4" x14ac:dyDescent="0.35">
      <c r="A5" s="41" t="s">
        <v>1184</v>
      </c>
      <c r="B5" s="42">
        <f>B8</f>
        <v>249.14135674381396</v>
      </c>
    </row>
    <row r="7" spans="1:4" x14ac:dyDescent="0.35">
      <c r="A7" s="24" t="s">
        <v>1158</v>
      </c>
      <c r="B7" t="s">
        <v>1169</v>
      </c>
    </row>
    <row r="8" spans="1:4" x14ac:dyDescent="0.35">
      <c r="A8" s="25" t="s">
        <v>7</v>
      </c>
      <c r="B8" s="32">
        <v>249.14135674381396</v>
      </c>
    </row>
    <row r="9" spans="1:4" x14ac:dyDescent="0.35">
      <c r="A9" s="26" t="s">
        <v>207</v>
      </c>
      <c r="B9" s="32">
        <v>249.14135674381396</v>
      </c>
    </row>
    <row r="10" spans="1:4" x14ac:dyDescent="0.35">
      <c r="A10" s="25" t="s">
        <v>8</v>
      </c>
      <c r="B10" s="32">
        <v>18.732913854704293</v>
      </c>
    </row>
    <row r="11" spans="1:4" x14ac:dyDescent="0.35">
      <c r="A11" s="26" t="s">
        <v>208</v>
      </c>
      <c r="B11" s="32">
        <v>18.732913854704293</v>
      </c>
    </row>
    <row r="12" spans="1:4" x14ac:dyDescent="0.35">
      <c r="A12" s="25" t="s">
        <v>66</v>
      </c>
      <c r="B12" s="32">
        <v>2.4807333203656867</v>
      </c>
    </row>
    <row r="13" spans="1:4" x14ac:dyDescent="0.35">
      <c r="A13" s="26" t="s">
        <v>262</v>
      </c>
      <c r="B13" s="32">
        <v>2.4807333203656867</v>
      </c>
    </row>
    <row r="14" spans="1:4" x14ac:dyDescent="0.35">
      <c r="A14" s="25" t="s">
        <v>12</v>
      </c>
      <c r="B14" s="32">
        <v>1.3985869888107629</v>
      </c>
    </row>
    <row r="15" spans="1:4" x14ac:dyDescent="0.35">
      <c r="A15" s="26" t="s">
        <v>210</v>
      </c>
      <c r="B15" s="32">
        <v>1.3985869888107629</v>
      </c>
    </row>
    <row r="16" spans="1:4" x14ac:dyDescent="0.35">
      <c r="A16" s="25" t="s">
        <v>11</v>
      </c>
      <c r="B16" s="32">
        <v>0.64414585414579051</v>
      </c>
    </row>
    <row r="17" spans="1:2" x14ac:dyDescent="0.35">
      <c r="A17" s="26" t="s">
        <v>11</v>
      </c>
      <c r="B17" s="32">
        <v>0.64414585414579051</v>
      </c>
    </row>
    <row r="18" spans="1:2" x14ac:dyDescent="0.35">
      <c r="A18" s="25" t="s">
        <v>116</v>
      </c>
      <c r="B18" s="32">
        <v>0.23469648562300449</v>
      </c>
    </row>
    <row r="19" spans="1:2" x14ac:dyDescent="0.35">
      <c r="A19" s="26" t="s">
        <v>312</v>
      </c>
      <c r="B19" s="32">
        <v>0.23469648562300449</v>
      </c>
    </row>
    <row r="20" spans="1:2" x14ac:dyDescent="0.35">
      <c r="A20" s="25" t="s">
        <v>103</v>
      </c>
      <c r="B20" s="32">
        <v>6.4863082150708351E-2</v>
      </c>
    </row>
    <row r="21" spans="1:2" x14ac:dyDescent="0.35">
      <c r="A21" s="26" t="s">
        <v>299</v>
      </c>
      <c r="B21" s="32">
        <v>6.4863082150708351E-2</v>
      </c>
    </row>
    <row r="22" spans="1:2" x14ac:dyDescent="0.35">
      <c r="A22" s="25" t="s">
        <v>19</v>
      </c>
      <c r="B22" s="32">
        <v>2.3823267767124623E-2</v>
      </c>
    </row>
    <row r="23" spans="1:2" x14ac:dyDescent="0.35">
      <c r="A23" s="26" t="s">
        <v>216</v>
      </c>
      <c r="B23" s="32">
        <v>2.3823267767124623E-2</v>
      </c>
    </row>
    <row r="24" spans="1:2" x14ac:dyDescent="0.35">
      <c r="A24" s="25" t="s">
        <v>28</v>
      </c>
      <c r="B24" s="32">
        <v>1.9352911896465486E-2</v>
      </c>
    </row>
    <row r="25" spans="1:2" x14ac:dyDescent="0.35">
      <c r="A25" s="26" t="s">
        <v>225</v>
      </c>
      <c r="B25" s="32">
        <v>1.9352911896465486E-2</v>
      </c>
    </row>
    <row r="26" spans="1:2" x14ac:dyDescent="0.35">
      <c r="A26" s="25" t="s">
        <v>35</v>
      </c>
      <c r="B26" s="32">
        <v>1.4545646898961484E-2</v>
      </c>
    </row>
    <row r="27" spans="1:2" x14ac:dyDescent="0.35">
      <c r="A27" s="26" t="s">
        <v>232</v>
      </c>
      <c r="B27" s="32">
        <v>1.4545646898961484E-2</v>
      </c>
    </row>
    <row r="28" spans="1:2" x14ac:dyDescent="0.35">
      <c r="A28" s="25" t="s">
        <v>1160</v>
      </c>
      <c r="B28" s="32">
        <v>272.75501815617673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609D-D29C-41AF-8902-60AF62308788}">
  <dimension ref="A1:D15"/>
  <sheetViews>
    <sheetView zoomScale="87" zoomScaleNormal="100" workbookViewId="0">
      <selection activeCell="C19" sqref="C19"/>
    </sheetView>
  </sheetViews>
  <sheetFormatPr defaultRowHeight="14.5" x14ac:dyDescent="0.35"/>
  <cols>
    <col min="1" max="1" width="13.7265625" bestFit="1" customWidth="1"/>
    <col min="2" max="2" width="16.08984375" bestFit="1" customWidth="1"/>
    <col min="3" max="3" width="18.36328125" bestFit="1" customWidth="1"/>
    <col min="4" max="4" width="15.6328125" bestFit="1" customWidth="1"/>
  </cols>
  <sheetData>
    <row r="1" spans="1:4" ht="26" x14ac:dyDescent="0.6">
      <c r="A1" s="33" t="s">
        <v>1177</v>
      </c>
      <c r="B1" s="33"/>
      <c r="C1" s="33"/>
      <c r="D1" s="34"/>
    </row>
    <row r="2" spans="1:4" x14ac:dyDescent="0.35">
      <c r="A2" s="24" t="s">
        <v>1185</v>
      </c>
      <c r="B2" t="s">
        <v>1186</v>
      </c>
    </row>
    <row r="4" spans="1:4" x14ac:dyDescent="0.35">
      <c r="A4" s="24" t="s">
        <v>1158</v>
      </c>
      <c r="B4" t="s">
        <v>1187</v>
      </c>
      <c r="C4" t="s">
        <v>1176</v>
      </c>
      <c r="D4" t="s">
        <v>1175</v>
      </c>
    </row>
    <row r="5" spans="1:4" x14ac:dyDescent="0.35">
      <c r="A5" s="25" t="s">
        <v>161</v>
      </c>
      <c r="B5" s="32">
        <v>3.3399999999999999E-2</v>
      </c>
      <c r="C5" s="32">
        <v>3.3399999999999999E-2</v>
      </c>
      <c r="D5" s="32">
        <v>-3.3399999999999999E-2</v>
      </c>
    </row>
    <row r="6" spans="1:4" x14ac:dyDescent="0.35">
      <c r="A6" s="25" t="s">
        <v>187</v>
      </c>
      <c r="B6" s="32">
        <v>0.18790000000000001</v>
      </c>
      <c r="C6" s="32">
        <v>0.18790000000000001</v>
      </c>
      <c r="D6" s="32">
        <v>-0.18790000000000001</v>
      </c>
    </row>
    <row r="7" spans="1:4" x14ac:dyDescent="0.35">
      <c r="A7" s="25" t="s">
        <v>53</v>
      </c>
      <c r="B7" s="32">
        <v>3.4200000000000001E-2</v>
      </c>
      <c r="C7" s="32">
        <v>3.4200000000000001E-2</v>
      </c>
      <c r="D7" s="32">
        <v>-3.4200000000000001E-2</v>
      </c>
    </row>
    <row r="8" spans="1:4" x14ac:dyDescent="0.35">
      <c r="A8" s="25" t="s">
        <v>148</v>
      </c>
      <c r="B8" s="32">
        <v>4.6399999999999997E-2</v>
      </c>
      <c r="C8" s="32">
        <v>4.6399999999999997E-2</v>
      </c>
      <c r="D8" s="32">
        <v>-4.6399999999999997E-2</v>
      </c>
    </row>
    <row r="9" spans="1:4" x14ac:dyDescent="0.35">
      <c r="A9" s="25" t="s">
        <v>203</v>
      </c>
      <c r="B9" s="32">
        <v>0.1177</v>
      </c>
      <c r="C9" s="32">
        <v>0.1177</v>
      </c>
      <c r="D9" s="32">
        <v>-0.1177</v>
      </c>
    </row>
    <row r="10" spans="1:4" x14ac:dyDescent="0.35">
      <c r="A10" s="25" t="s">
        <v>24</v>
      </c>
      <c r="B10" s="32">
        <v>3.0499999999999999E-2</v>
      </c>
      <c r="C10" s="32">
        <v>3.0499999999999999E-2</v>
      </c>
      <c r="D10" s="32">
        <v>-3.0499999999999999E-2</v>
      </c>
    </row>
    <row r="11" spans="1:4" x14ac:dyDescent="0.35">
      <c r="A11" s="25" t="s">
        <v>83</v>
      </c>
      <c r="B11" s="32">
        <v>4.2700000000000002E-2</v>
      </c>
      <c r="C11" s="32">
        <v>4.2700000000000002E-2</v>
      </c>
      <c r="D11" s="32">
        <v>-4.2700000000000002E-2</v>
      </c>
    </row>
    <row r="12" spans="1:4" x14ac:dyDescent="0.35">
      <c r="A12" s="25" t="s">
        <v>109</v>
      </c>
      <c r="B12" s="32">
        <v>4.0500000000000001E-2</v>
      </c>
      <c r="C12" s="32">
        <v>4.0500000000000001E-2</v>
      </c>
      <c r="D12" s="32">
        <v>-4.0500000000000001E-2</v>
      </c>
    </row>
    <row r="13" spans="1:4" x14ac:dyDescent="0.35">
      <c r="A13" s="25" t="s">
        <v>88</v>
      </c>
      <c r="B13" s="32">
        <v>4.24E-2</v>
      </c>
      <c r="C13" s="32">
        <v>4.24E-2</v>
      </c>
      <c r="D13" s="32">
        <v>-4.24E-2</v>
      </c>
    </row>
    <row r="14" spans="1:4" x14ac:dyDescent="0.35">
      <c r="A14" s="25" t="s">
        <v>35</v>
      </c>
      <c r="B14" s="32">
        <v>3.0300000000000001E-2</v>
      </c>
      <c r="C14" s="32">
        <v>3.0300000000000001E-2</v>
      </c>
      <c r="D14" s="32">
        <v>-3.0300000000000001E-2</v>
      </c>
    </row>
    <row r="15" spans="1:4" x14ac:dyDescent="0.35">
      <c r="A15" s="25" t="s">
        <v>1160</v>
      </c>
      <c r="B15" s="32">
        <v>0.60599999999999998</v>
      </c>
      <c r="C15" s="32">
        <v>0.60599999999999998</v>
      </c>
      <c r="D15" s="32">
        <v>-0.60599999999999998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1CAE-7EEC-4BCB-9BD1-8656AB316169}">
  <dimension ref="A1:J125"/>
  <sheetViews>
    <sheetView zoomScale="66" workbookViewId="0">
      <selection activeCell="F22" sqref="F22"/>
    </sheetView>
  </sheetViews>
  <sheetFormatPr defaultRowHeight="14.5" x14ac:dyDescent="0.35"/>
  <cols>
    <col min="1" max="1" width="27.36328125" bestFit="1" customWidth="1"/>
    <col min="2" max="2" width="25.81640625" bestFit="1" customWidth="1"/>
    <col min="5" max="5" width="16.1796875" customWidth="1"/>
    <col min="6" max="6" width="23.7265625" customWidth="1"/>
  </cols>
  <sheetData>
    <row r="1" spans="1:10" ht="26" x14ac:dyDescent="0.6">
      <c r="A1" s="24" t="s">
        <v>1182</v>
      </c>
      <c r="B1" t="s">
        <v>1183</v>
      </c>
      <c r="E1" s="33" t="s">
        <v>1188</v>
      </c>
      <c r="F1" s="33"/>
      <c r="G1" s="33"/>
      <c r="H1" s="46"/>
      <c r="I1" s="46"/>
      <c r="J1" s="46"/>
    </row>
    <row r="2" spans="1:10" x14ac:dyDescent="0.35">
      <c r="A2" s="24" t="s">
        <v>1157</v>
      </c>
      <c r="B2" t="s">
        <v>1170</v>
      </c>
    </row>
    <row r="3" spans="1:10" x14ac:dyDescent="0.35">
      <c r="E3" s="37" t="s">
        <v>1180</v>
      </c>
      <c r="F3" s="11" t="str">
        <f>A5</f>
        <v>LanLan Cat</v>
      </c>
    </row>
    <row r="4" spans="1:10" x14ac:dyDescent="0.35">
      <c r="A4" s="24" t="s">
        <v>1158</v>
      </c>
      <c r="B4" t="s">
        <v>1179</v>
      </c>
      <c r="E4" s="37" t="s">
        <v>1146</v>
      </c>
      <c r="F4" s="11" t="str">
        <f>VLOOKUP(F3,'raw data'!A:C,2,FALSE)</f>
        <v>LANLAN</v>
      </c>
    </row>
    <row r="5" spans="1:10" x14ac:dyDescent="0.35">
      <c r="A5" s="25" t="s">
        <v>203</v>
      </c>
      <c r="B5" s="32">
        <v>-0.1177</v>
      </c>
      <c r="E5" s="37" t="s">
        <v>1147</v>
      </c>
      <c r="F5" s="11" t="str">
        <f>VLOOKUP(F3,'raw data'!A:C,3,FALSE)</f>
        <v>$0.0001380</v>
      </c>
    </row>
    <row r="6" spans="1:10" x14ac:dyDescent="0.35">
      <c r="A6" s="25" t="s">
        <v>148</v>
      </c>
      <c r="B6" s="32">
        <v>-4.6399999999999997E-2</v>
      </c>
      <c r="E6" s="37" t="s">
        <v>1178</v>
      </c>
      <c r="F6" s="39">
        <f>B5</f>
        <v>-0.1177</v>
      </c>
    </row>
    <row r="7" spans="1:10" x14ac:dyDescent="0.35">
      <c r="A7" s="25" t="s">
        <v>88</v>
      </c>
      <c r="B7" s="32">
        <v>-4.24E-2</v>
      </c>
      <c r="E7" s="37" t="s">
        <v>1181</v>
      </c>
      <c r="F7" s="11">
        <f>COUNTA(A5:A500)</f>
        <v>121</v>
      </c>
    </row>
    <row r="8" spans="1:10" ht="26" x14ac:dyDescent="0.6">
      <c r="A8" s="25" t="s">
        <v>109</v>
      </c>
      <c r="B8" s="32">
        <v>-4.0500000000000001E-2</v>
      </c>
      <c r="F8" s="36"/>
    </row>
    <row r="9" spans="1:10" x14ac:dyDescent="0.35">
      <c r="A9" s="25" t="s">
        <v>24</v>
      </c>
      <c r="B9" s="32">
        <v>-3.0499999999999999E-2</v>
      </c>
    </row>
    <row r="10" spans="1:10" x14ac:dyDescent="0.35">
      <c r="A10" s="25" t="s">
        <v>35</v>
      </c>
      <c r="B10" s="32">
        <v>-3.0300000000000001E-2</v>
      </c>
      <c r="D10" s="38"/>
    </row>
    <row r="11" spans="1:10" x14ac:dyDescent="0.35">
      <c r="A11" s="25" t="s">
        <v>204</v>
      </c>
      <c r="B11" s="32">
        <v>-2.9399999999999999E-2</v>
      </c>
    </row>
    <row r="12" spans="1:10" x14ac:dyDescent="0.35">
      <c r="A12" s="25" t="s">
        <v>66</v>
      </c>
      <c r="B12" s="32">
        <v>-2.8199999999999999E-2</v>
      </c>
    </row>
    <row r="13" spans="1:10" x14ac:dyDescent="0.35">
      <c r="A13" s="25" t="s">
        <v>167</v>
      </c>
      <c r="B13" s="32">
        <v>-2.6700000000000002E-2</v>
      </c>
    </row>
    <row r="14" spans="1:10" x14ac:dyDescent="0.35">
      <c r="A14" s="25" t="s">
        <v>106</v>
      </c>
      <c r="B14" s="32">
        <v>-2.5100000000000001E-2</v>
      </c>
    </row>
    <row r="15" spans="1:10" x14ac:dyDescent="0.35">
      <c r="A15" s="25" t="s">
        <v>171</v>
      </c>
      <c r="B15" s="32">
        <v>-2.4799999999999999E-2</v>
      </c>
    </row>
    <row r="16" spans="1:10" x14ac:dyDescent="0.35">
      <c r="A16" s="25" t="s">
        <v>55</v>
      </c>
      <c r="B16" s="32">
        <v>-2.4400000000000002E-2</v>
      </c>
    </row>
    <row r="17" spans="1:2" x14ac:dyDescent="0.35">
      <c r="A17" s="25" t="s">
        <v>22</v>
      </c>
      <c r="B17" s="32">
        <v>-2.2700000000000001E-2</v>
      </c>
    </row>
    <row r="18" spans="1:2" x14ac:dyDescent="0.35">
      <c r="A18" s="25" t="s">
        <v>80</v>
      </c>
      <c r="B18" s="32">
        <v>-2.1899999999999999E-2</v>
      </c>
    </row>
    <row r="19" spans="1:2" x14ac:dyDescent="0.35">
      <c r="A19" s="25" t="s">
        <v>125</v>
      </c>
      <c r="B19" s="32">
        <v>-2.18E-2</v>
      </c>
    </row>
    <row r="20" spans="1:2" x14ac:dyDescent="0.35">
      <c r="A20" s="25" t="s">
        <v>206</v>
      </c>
      <c r="B20" s="32">
        <v>-2.06E-2</v>
      </c>
    </row>
    <row r="21" spans="1:2" x14ac:dyDescent="0.35">
      <c r="A21" s="25" t="s">
        <v>49</v>
      </c>
      <c r="B21" s="32">
        <v>-1.8800000000000001E-2</v>
      </c>
    </row>
    <row r="22" spans="1:2" x14ac:dyDescent="0.35">
      <c r="A22" s="25" t="s">
        <v>78</v>
      </c>
      <c r="B22" s="32">
        <v>-1.77E-2</v>
      </c>
    </row>
    <row r="23" spans="1:2" x14ac:dyDescent="0.35">
      <c r="A23" s="25" t="s">
        <v>67</v>
      </c>
      <c r="B23" s="32">
        <v>-1.7299999999999999E-2</v>
      </c>
    </row>
    <row r="24" spans="1:2" x14ac:dyDescent="0.35">
      <c r="A24" s="25" t="s">
        <v>155</v>
      </c>
      <c r="B24" s="32">
        <v>-1.72E-2</v>
      </c>
    </row>
    <row r="25" spans="1:2" x14ac:dyDescent="0.35">
      <c r="A25" s="25" t="s">
        <v>46</v>
      </c>
      <c r="B25" s="32">
        <v>-1.5900000000000001E-2</v>
      </c>
    </row>
    <row r="26" spans="1:2" x14ac:dyDescent="0.35">
      <c r="A26" s="25" t="s">
        <v>178</v>
      </c>
      <c r="B26" s="32">
        <v>-1.5800000000000002E-2</v>
      </c>
    </row>
    <row r="27" spans="1:2" x14ac:dyDescent="0.35">
      <c r="A27" s="25" t="s">
        <v>18</v>
      </c>
      <c r="B27" s="32">
        <v>-1.5699999999999999E-2</v>
      </c>
    </row>
    <row r="28" spans="1:2" x14ac:dyDescent="0.35">
      <c r="A28" s="25" t="s">
        <v>180</v>
      </c>
      <c r="B28" s="32">
        <v>-1.5599999999999999E-2</v>
      </c>
    </row>
    <row r="29" spans="1:2" x14ac:dyDescent="0.35">
      <c r="A29" s="25" t="s">
        <v>60</v>
      </c>
      <c r="B29" s="32">
        <v>-1.5299999999999999E-2</v>
      </c>
    </row>
    <row r="30" spans="1:2" x14ac:dyDescent="0.35">
      <c r="A30" s="25" t="s">
        <v>82</v>
      </c>
      <c r="B30" s="32">
        <v>-1.46E-2</v>
      </c>
    </row>
    <row r="31" spans="1:2" x14ac:dyDescent="0.35">
      <c r="A31" s="25" t="s">
        <v>132</v>
      </c>
      <c r="B31" s="32">
        <v>-1.4200000000000001E-2</v>
      </c>
    </row>
    <row r="32" spans="1:2" x14ac:dyDescent="0.35">
      <c r="A32" s="25" t="s">
        <v>126</v>
      </c>
      <c r="B32" s="32">
        <v>-1.4200000000000001E-2</v>
      </c>
    </row>
    <row r="33" spans="1:2" x14ac:dyDescent="0.35">
      <c r="A33" s="25" t="s">
        <v>17</v>
      </c>
      <c r="B33" s="32">
        <v>-1.4E-2</v>
      </c>
    </row>
    <row r="34" spans="1:2" x14ac:dyDescent="0.35">
      <c r="A34" s="25" t="s">
        <v>58</v>
      </c>
      <c r="B34" s="32">
        <v>-1.32E-2</v>
      </c>
    </row>
    <row r="35" spans="1:2" x14ac:dyDescent="0.35">
      <c r="A35" s="25" t="s">
        <v>137</v>
      </c>
      <c r="B35" s="32">
        <v>-1.26E-2</v>
      </c>
    </row>
    <row r="36" spans="1:2" x14ac:dyDescent="0.35">
      <c r="A36" s="25" t="s">
        <v>201</v>
      </c>
      <c r="B36" s="32">
        <v>-1.26E-2</v>
      </c>
    </row>
    <row r="37" spans="1:2" x14ac:dyDescent="0.35">
      <c r="A37" s="25" t="s">
        <v>86</v>
      </c>
      <c r="B37" s="32">
        <v>-1.26E-2</v>
      </c>
    </row>
    <row r="38" spans="1:2" x14ac:dyDescent="0.35">
      <c r="A38" s="25" t="s">
        <v>122</v>
      </c>
      <c r="B38" s="32">
        <v>-1.26E-2</v>
      </c>
    </row>
    <row r="39" spans="1:2" x14ac:dyDescent="0.35">
      <c r="A39" s="25" t="s">
        <v>182</v>
      </c>
      <c r="B39" s="32">
        <v>-1.21E-2</v>
      </c>
    </row>
    <row r="40" spans="1:2" x14ac:dyDescent="0.35">
      <c r="A40" s="25" t="s">
        <v>19</v>
      </c>
      <c r="B40" s="32">
        <v>-1.17E-2</v>
      </c>
    </row>
    <row r="41" spans="1:2" x14ac:dyDescent="0.35">
      <c r="A41" s="25" t="s">
        <v>41</v>
      </c>
      <c r="B41" s="32">
        <v>-1.1299999999999999E-2</v>
      </c>
    </row>
    <row r="42" spans="1:2" x14ac:dyDescent="0.35">
      <c r="A42" s="25" t="s">
        <v>193</v>
      </c>
      <c r="B42" s="32">
        <v>-1.0999999999999999E-2</v>
      </c>
    </row>
    <row r="43" spans="1:2" x14ac:dyDescent="0.35">
      <c r="A43" s="25" t="s">
        <v>128</v>
      </c>
      <c r="B43" s="32">
        <v>-1.09E-2</v>
      </c>
    </row>
    <row r="44" spans="1:2" x14ac:dyDescent="0.35">
      <c r="A44" s="25" t="s">
        <v>93</v>
      </c>
      <c r="B44" s="32">
        <v>-1.04E-2</v>
      </c>
    </row>
    <row r="45" spans="1:2" x14ac:dyDescent="0.35">
      <c r="A45" s="25" t="s">
        <v>151</v>
      </c>
      <c r="B45" s="32">
        <v>-1.04E-2</v>
      </c>
    </row>
    <row r="46" spans="1:2" x14ac:dyDescent="0.35">
      <c r="A46" s="25" t="s">
        <v>42</v>
      </c>
      <c r="B46" s="32">
        <v>-1.01E-2</v>
      </c>
    </row>
    <row r="47" spans="1:2" x14ac:dyDescent="0.35">
      <c r="A47" s="25" t="s">
        <v>23</v>
      </c>
      <c r="B47" s="32">
        <v>-0.01</v>
      </c>
    </row>
    <row r="48" spans="1:2" x14ac:dyDescent="0.35">
      <c r="A48" s="25" t="s">
        <v>12</v>
      </c>
      <c r="B48" s="32">
        <v>-9.9000000000000008E-3</v>
      </c>
    </row>
    <row r="49" spans="1:2" x14ac:dyDescent="0.35">
      <c r="A49" s="25" t="s">
        <v>185</v>
      </c>
      <c r="B49" s="32">
        <v>-9.7000000000000003E-3</v>
      </c>
    </row>
    <row r="50" spans="1:2" x14ac:dyDescent="0.35">
      <c r="A50" s="25" t="s">
        <v>168</v>
      </c>
      <c r="B50" s="32">
        <v>-9.7000000000000003E-3</v>
      </c>
    </row>
    <row r="51" spans="1:2" x14ac:dyDescent="0.35">
      <c r="A51" s="25" t="s">
        <v>97</v>
      </c>
      <c r="B51" s="32">
        <v>-9.5999999999999992E-3</v>
      </c>
    </row>
    <row r="52" spans="1:2" x14ac:dyDescent="0.35">
      <c r="A52" s="25" t="s">
        <v>81</v>
      </c>
      <c r="B52" s="32">
        <v>-9.4000000000000004E-3</v>
      </c>
    </row>
    <row r="53" spans="1:2" x14ac:dyDescent="0.35">
      <c r="A53" s="25" t="s">
        <v>61</v>
      </c>
      <c r="B53" s="32">
        <v>-9.1999999999999998E-3</v>
      </c>
    </row>
    <row r="54" spans="1:2" x14ac:dyDescent="0.35">
      <c r="A54" s="25" t="s">
        <v>120</v>
      </c>
      <c r="B54" s="32">
        <v>-8.8000000000000005E-3</v>
      </c>
    </row>
    <row r="55" spans="1:2" x14ac:dyDescent="0.35">
      <c r="A55" s="25" t="s">
        <v>177</v>
      </c>
      <c r="B55" s="32">
        <v>-8.0999999999999996E-3</v>
      </c>
    </row>
    <row r="56" spans="1:2" x14ac:dyDescent="0.35">
      <c r="A56" s="25" t="s">
        <v>205</v>
      </c>
      <c r="B56" s="32">
        <v>-7.9000000000000008E-3</v>
      </c>
    </row>
    <row r="57" spans="1:2" x14ac:dyDescent="0.35">
      <c r="A57" s="25" t="s">
        <v>79</v>
      </c>
      <c r="B57" s="32">
        <v>-7.6E-3</v>
      </c>
    </row>
    <row r="58" spans="1:2" x14ac:dyDescent="0.35">
      <c r="A58" s="25" t="s">
        <v>8</v>
      </c>
      <c r="B58" s="32">
        <v>-7.6E-3</v>
      </c>
    </row>
    <row r="59" spans="1:2" x14ac:dyDescent="0.35">
      <c r="A59" s="25" t="s">
        <v>133</v>
      </c>
      <c r="B59" s="32">
        <v>-7.0000000000000001E-3</v>
      </c>
    </row>
    <row r="60" spans="1:2" x14ac:dyDescent="0.35">
      <c r="A60" s="25" t="s">
        <v>76</v>
      </c>
      <c r="B60" s="32">
        <v>-6.8999999999999999E-3</v>
      </c>
    </row>
    <row r="61" spans="1:2" x14ac:dyDescent="0.35">
      <c r="A61" s="25" t="s">
        <v>156</v>
      </c>
      <c r="B61" s="32">
        <v>-6.7999999999999996E-3</v>
      </c>
    </row>
    <row r="62" spans="1:2" x14ac:dyDescent="0.35">
      <c r="A62" s="25" t="s">
        <v>36</v>
      </c>
      <c r="B62" s="32">
        <v>-6.6E-3</v>
      </c>
    </row>
    <row r="63" spans="1:2" x14ac:dyDescent="0.35">
      <c r="A63" s="25" t="s">
        <v>21</v>
      </c>
      <c r="B63" s="32">
        <v>-6.6E-3</v>
      </c>
    </row>
    <row r="64" spans="1:2" x14ac:dyDescent="0.35">
      <c r="A64" s="25" t="s">
        <v>39</v>
      </c>
      <c r="B64" s="32">
        <v>-6.3E-3</v>
      </c>
    </row>
    <row r="65" spans="1:2" x14ac:dyDescent="0.35">
      <c r="A65" s="25" t="s">
        <v>149</v>
      </c>
      <c r="B65" s="32">
        <v>-5.7000000000000002E-3</v>
      </c>
    </row>
    <row r="66" spans="1:2" x14ac:dyDescent="0.35">
      <c r="A66" s="25" t="s">
        <v>94</v>
      </c>
      <c r="B66" s="32">
        <v>-5.4999999999999997E-3</v>
      </c>
    </row>
    <row r="67" spans="1:2" x14ac:dyDescent="0.35">
      <c r="A67" s="25" t="s">
        <v>10</v>
      </c>
      <c r="B67" s="32">
        <v>-5.4999999999999997E-3</v>
      </c>
    </row>
    <row r="68" spans="1:2" x14ac:dyDescent="0.35">
      <c r="A68" s="25" t="s">
        <v>45</v>
      </c>
      <c r="B68" s="32">
        <v>-5.4000000000000003E-3</v>
      </c>
    </row>
    <row r="69" spans="1:2" x14ac:dyDescent="0.35">
      <c r="A69" s="25" t="s">
        <v>57</v>
      </c>
      <c r="B69" s="32">
        <v>-5.3E-3</v>
      </c>
    </row>
    <row r="70" spans="1:2" x14ac:dyDescent="0.35">
      <c r="A70" s="25" t="s">
        <v>130</v>
      </c>
      <c r="B70" s="32">
        <v>-5.3E-3</v>
      </c>
    </row>
    <row r="71" spans="1:2" x14ac:dyDescent="0.35">
      <c r="A71" s="25" t="s">
        <v>34</v>
      </c>
      <c r="B71" s="32">
        <v>-5.1999999999999998E-3</v>
      </c>
    </row>
    <row r="72" spans="1:2" x14ac:dyDescent="0.35">
      <c r="A72" s="25" t="s">
        <v>30</v>
      </c>
      <c r="B72" s="32">
        <v>-5.1999999999999998E-3</v>
      </c>
    </row>
    <row r="73" spans="1:2" x14ac:dyDescent="0.35">
      <c r="A73" s="25" t="s">
        <v>28</v>
      </c>
      <c r="B73" s="32">
        <v>-4.4999999999999997E-3</v>
      </c>
    </row>
    <row r="74" spans="1:2" x14ac:dyDescent="0.35">
      <c r="A74" s="25" t="s">
        <v>127</v>
      </c>
      <c r="B74" s="32">
        <v>-4.4999999999999997E-3</v>
      </c>
    </row>
    <row r="75" spans="1:2" x14ac:dyDescent="0.35">
      <c r="A75" s="25" t="s">
        <v>64</v>
      </c>
      <c r="B75" s="32">
        <v>-4.4999999999999997E-3</v>
      </c>
    </row>
    <row r="76" spans="1:2" x14ac:dyDescent="0.35">
      <c r="A76" s="25" t="s">
        <v>199</v>
      </c>
      <c r="B76" s="32">
        <v>-4.3E-3</v>
      </c>
    </row>
    <row r="77" spans="1:2" x14ac:dyDescent="0.35">
      <c r="A77" s="25" t="s">
        <v>87</v>
      </c>
      <c r="B77" s="32">
        <v>-4.1999999999999997E-3</v>
      </c>
    </row>
    <row r="78" spans="1:2" x14ac:dyDescent="0.35">
      <c r="A78" s="25" t="s">
        <v>98</v>
      </c>
      <c r="B78" s="32">
        <v>-4.0000000000000001E-3</v>
      </c>
    </row>
    <row r="79" spans="1:2" x14ac:dyDescent="0.35">
      <c r="A79" s="25" t="s">
        <v>14</v>
      </c>
      <c r="B79" s="32">
        <v>-3.5999999999999999E-3</v>
      </c>
    </row>
    <row r="80" spans="1:2" x14ac:dyDescent="0.35">
      <c r="A80" s="25" t="s">
        <v>38</v>
      </c>
      <c r="B80" s="32">
        <v>-3.2000000000000002E-3</v>
      </c>
    </row>
    <row r="81" spans="1:2" x14ac:dyDescent="0.35">
      <c r="A81" s="25" t="s">
        <v>75</v>
      </c>
      <c r="B81" s="32">
        <v>-3.2000000000000002E-3</v>
      </c>
    </row>
    <row r="82" spans="1:2" x14ac:dyDescent="0.35">
      <c r="A82" s="25" t="s">
        <v>68</v>
      </c>
      <c r="B82" s="32">
        <v>-3.0999999999999999E-3</v>
      </c>
    </row>
    <row r="83" spans="1:2" x14ac:dyDescent="0.35">
      <c r="A83" s="25" t="s">
        <v>43</v>
      </c>
      <c r="B83" s="32">
        <v>-2.8999999999999998E-3</v>
      </c>
    </row>
    <row r="84" spans="1:2" x14ac:dyDescent="0.35">
      <c r="A84" s="25" t="s">
        <v>189</v>
      </c>
      <c r="B84" s="32">
        <v>-2.8E-3</v>
      </c>
    </row>
    <row r="85" spans="1:2" x14ac:dyDescent="0.35">
      <c r="A85" s="25" t="s">
        <v>117</v>
      </c>
      <c r="B85" s="32">
        <v>-2.5000000000000001E-3</v>
      </c>
    </row>
    <row r="86" spans="1:2" x14ac:dyDescent="0.35">
      <c r="A86" s="25" t="s">
        <v>7</v>
      </c>
      <c r="B86" s="32">
        <v>-2.3999999999999998E-3</v>
      </c>
    </row>
    <row r="87" spans="1:2" x14ac:dyDescent="0.35">
      <c r="A87" s="25" t="s">
        <v>113</v>
      </c>
      <c r="B87" s="32">
        <v>-2.2000000000000001E-3</v>
      </c>
    </row>
    <row r="88" spans="1:2" x14ac:dyDescent="0.35">
      <c r="A88" s="25" t="s">
        <v>142</v>
      </c>
      <c r="B88" s="32">
        <v>-2E-3</v>
      </c>
    </row>
    <row r="89" spans="1:2" x14ac:dyDescent="0.35">
      <c r="A89" s="25" t="s">
        <v>196</v>
      </c>
      <c r="B89" s="32">
        <v>-2E-3</v>
      </c>
    </row>
    <row r="90" spans="1:2" x14ac:dyDescent="0.35">
      <c r="A90" s="25" t="s">
        <v>102</v>
      </c>
      <c r="B90" s="32">
        <v>-1.8E-3</v>
      </c>
    </row>
    <row r="91" spans="1:2" x14ac:dyDescent="0.35">
      <c r="A91" s="25" t="s">
        <v>116</v>
      </c>
      <c r="B91" s="32">
        <v>-1.6000000000000001E-3</v>
      </c>
    </row>
    <row r="92" spans="1:2" x14ac:dyDescent="0.35">
      <c r="A92" s="25" t="s">
        <v>197</v>
      </c>
      <c r="B92" s="32">
        <v>-1.6000000000000001E-3</v>
      </c>
    </row>
    <row r="93" spans="1:2" x14ac:dyDescent="0.35">
      <c r="A93" s="25" t="s">
        <v>135</v>
      </c>
      <c r="B93" s="32">
        <v>-1.5E-3</v>
      </c>
    </row>
    <row r="94" spans="1:2" x14ac:dyDescent="0.35">
      <c r="A94" s="25" t="s">
        <v>77</v>
      </c>
      <c r="B94" s="32">
        <v>-1.5E-3</v>
      </c>
    </row>
    <row r="95" spans="1:2" x14ac:dyDescent="0.35">
      <c r="A95" s="25" t="s">
        <v>50</v>
      </c>
      <c r="B95" s="32">
        <v>-1.4E-3</v>
      </c>
    </row>
    <row r="96" spans="1:2" x14ac:dyDescent="0.35">
      <c r="A96" s="25" t="s">
        <v>119</v>
      </c>
      <c r="B96" s="32">
        <v>-1.1999999999999999E-3</v>
      </c>
    </row>
    <row r="97" spans="1:2" x14ac:dyDescent="0.35">
      <c r="A97" s="25" t="s">
        <v>152</v>
      </c>
      <c r="B97" s="32">
        <v>-1.1999999999999999E-3</v>
      </c>
    </row>
    <row r="98" spans="1:2" x14ac:dyDescent="0.35">
      <c r="A98" s="25" t="s">
        <v>166</v>
      </c>
      <c r="B98" s="32">
        <v>-1.1999999999999999E-3</v>
      </c>
    </row>
    <row r="99" spans="1:2" x14ac:dyDescent="0.35">
      <c r="A99" s="25" t="s">
        <v>65</v>
      </c>
      <c r="B99" s="32">
        <v>-1E-3</v>
      </c>
    </row>
    <row r="100" spans="1:2" x14ac:dyDescent="0.35">
      <c r="A100" s="25" t="s">
        <v>181</v>
      </c>
      <c r="B100" s="32">
        <v>-1E-3</v>
      </c>
    </row>
    <row r="101" spans="1:2" x14ac:dyDescent="0.35">
      <c r="A101" s="25" t="s">
        <v>11</v>
      </c>
      <c r="B101" s="32">
        <v>-1E-3</v>
      </c>
    </row>
    <row r="102" spans="1:2" x14ac:dyDescent="0.35">
      <c r="A102" s="25" t="s">
        <v>170</v>
      </c>
      <c r="B102" s="32">
        <v>-1E-3</v>
      </c>
    </row>
    <row r="103" spans="1:2" x14ac:dyDescent="0.35">
      <c r="A103" s="25" t="s">
        <v>163</v>
      </c>
      <c r="B103" s="32">
        <v>-8.9999999999999998E-4</v>
      </c>
    </row>
    <row r="104" spans="1:2" x14ac:dyDescent="0.35">
      <c r="A104" s="25" t="s">
        <v>179</v>
      </c>
      <c r="B104" s="32">
        <v>-8.9999999999999998E-4</v>
      </c>
    </row>
    <row r="105" spans="1:2" x14ac:dyDescent="0.35">
      <c r="A105" s="25" t="s">
        <v>74</v>
      </c>
      <c r="B105" s="32">
        <v>-8.0000000000000004E-4</v>
      </c>
    </row>
    <row r="106" spans="1:2" x14ac:dyDescent="0.35">
      <c r="A106" s="25" t="s">
        <v>103</v>
      </c>
      <c r="B106" s="32">
        <v>-5.9999999999999995E-4</v>
      </c>
    </row>
    <row r="107" spans="1:2" x14ac:dyDescent="0.35">
      <c r="A107" s="25" t="s">
        <v>29</v>
      </c>
      <c r="B107" s="32">
        <v>-5.9999999999999995E-4</v>
      </c>
    </row>
    <row r="108" spans="1:2" x14ac:dyDescent="0.35">
      <c r="A108" s="25" t="s">
        <v>112</v>
      </c>
      <c r="B108" s="32">
        <v>-5.0000000000000001E-4</v>
      </c>
    </row>
    <row r="109" spans="1:2" x14ac:dyDescent="0.35">
      <c r="A109" s="25" t="s">
        <v>9</v>
      </c>
      <c r="B109" s="32">
        <v>-4.0000000000000002E-4</v>
      </c>
    </row>
    <row r="110" spans="1:2" x14ac:dyDescent="0.35">
      <c r="A110" s="25" t="s">
        <v>71</v>
      </c>
      <c r="B110" s="32">
        <v>-4.0000000000000002E-4</v>
      </c>
    </row>
    <row r="111" spans="1:2" x14ac:dyDescent="0.35">
      <c r="A111" s="25" t="s">
        <v>111</v>
      </c>
      <c r="B111" s="32">
        <v>-2.9999999999999997E-4</v>
      </c>
    </row>
    <row r="112" spans="1:2" x14ac:dyDescent="0.35">
      <c r="A112" s="25" t="s">
        <v>183</v>
      </c>
      <c r="B112" s="32">
        <v>-2.9999999999999997E-4</v>
      </c>
    </row>
    <row r="113" spans="1:2" x14ac:dyDescent="0.35">
      <c r="A113" s="25" t="s">
        <v>150</v>
      </c>
      <c r="B113" s="32">
        <v>-2.9999999999999997E-4</v>
      </c>
    </row>
    <row r="114" spans="1:2" x14ac:dyDescent="0.35">
      <c r="A114" s="25" t="s">
        <v>56</v>
      </c>
      <c r="B114" s="32">
        <v>-2.0000000000000001E-4</v>
      </c>
    </row>
    <row r="115" spans="1:2" x14ac:dyDescent="0.35">
      <c r="A115" s="25" t="s">
        <v>89</v>
      </c>
      <c r="B115" s="32">
        <v>-2.0000000000000001E-4</v>
      </c>
    </row>
    <row r="116" spans="1:2" x14ac:dyDescent="0.35">
      <c r="A116" s="25" t="s">
        <v>26</v>
      </c>
      <c r="B116" s="32">
        <v>-1E-4</v>
      </c>
    </row>
    <row r="117" spans="1:2" x14ac:dyDescent="0.35">
      <c r="A117" s="25" t="s">
        <v>27</v>
      </c>
      <c r="B117" s="32">
        <v>-1E-4</v>
      </c>
    </row>
    <row r="118" spans="1:2" x14ac:dyDescent="0.35">
      <c r="A118" s="25" t="s">
        <v>145</v>
      </c>
      <c r="B118" s="32">
        <v>-1E-4</v>
      </c>
    </row>
    <row r="119" spans="1:2" x14ac:dyDescent="0.35">
      <c r="A119" s="25" t="s">
        <v>169</v>
      </c>
      <c r="B119" s="32">
        <v>0</v>
      </c>
    </row>
    <row r="120" spans="1:2" x14ac:dyDescent="0.35">
      <c r="A120" s="25" t="s">
        <v>139</v>
      </c>
      <c r="B120" s="32">
        <v>0</v>
      </c>
    </row>
    <row r="121" spans="1:2" x14ac:dyDescent="0.35">
      <c r="A121" s="25" t="s">
        <v>194</v>
      </c>
      <c r="B121" s="32">
        <v>0</v>
      </c>
    </row>
    <row r="122" spans="1:2" x14ac:dyDescent="0.35">
      <c r="A122" s="25" t="s">
        <v>33</v>
      </c>
      <c r="B122" s="32">
        <v>0</v>
      </c>
    </row>
    <row r="123" spans="1:2" x14ac:dyDescent="0.35">
      <c r="A123" s="25" t="s">
        <v>134</v>
      </c>
      <c r="B123" s="32">
        <v>0</v>
      </c>
    </row>
    <row r="124" spans="1:2" x14ac:dyDescent="0.35">
      <c r="A124" s="25" t="s">
        <v>186</v>
      </c>
      <c r="B124" s="32">
        <v>0</v>
      </c>
    </row>
    <row r="125" spans="1:2" x14ac:dyDescent="0.35">
      <c r="A125" s="25" t="s">
        <v>1160</v>
      </c>
      <c r="B125" s="32">
        <v>-9.8466666666666668E-3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B84B-FDCB-4A25-8EAB-9AFE9EC9D936}">
  <dimension ref="A1:E87"/>
  <sheetViews>
    <sheetView workbookViewId="0">
      <selection activeCell="E4" sqref="E4"/>
    </sheetView>
  </sheetViews>
  <sheetFormatPr defaultRowHeight="14.5" x14ac:dyDescent="0.35"/>
  <cols>
    <col min="1" max="1" width="14.81640625" customWidth="1"/>
    <col min="2" max="2" width="14.453125" customWidth="1"/>
    <col min="3" max="3" width="18" customWidth="1"/>
    <col min="4" max="4" width="17.08984375" customWidth="1"/>
    <col min="5" max="5" width="14.7265625" customWidth="1"/>
  </cols>
  <sheetData>
    <row r="1" spans="1:5" x14ac:dyDescent="0.35">
      <c r="A1" s="23" t="s">
        <v>0</v>
      </c>
      <c r="B1" s="23" t="s">
        <v>2</v>
      </c>
      <c r="C1" s="23" t="s">
        <v>5</v>
      </c>
      <c r="D1" s="23" t="s">
        <v>1139</v>
      </c>
      <c r="E1" s="23" t="s">
        <v>1157</v>
      </c>
    </row>
    <row r="2" spans="1:5" x14ac:dyDescent="0.35">
      <c r="A2" s="2" t="s">
        <v>7</v>
      </c>
      <c r="B2" s="3" t="s">
        <v>392</v>
      </c>
      <c r="C2" s="3" t="s">
        <v>752</v>
      </c>
      <c r="D2" s="3">
        <v>43170391288</v>
      </c>
      <c r="E2" t="str">
        <f>IF(VALUE(SUBSTITUTE(B2,"$",""))&lt;=50,"$0-$50","&gt; $50")</f>
        <v>&gt; $50</v>
      </c>
    </row>
    <row r="3" spans="1:5" x14ac:dyDescent="0.35">
      <c r="A3" s="4" t="s">
        <v>8</v>
      </c>
      <c r="B3" s="5" t="s">
        <v>393</v>
      </c>
      <c r="C3" s="5" t="s">
        <v>753</v>
      </c>
      <c r="D3" s="5">
        <v>14942260356</v>
      </c>
      <c r="E3" t="str">
        <f t="shared" ref="E3:E66" si="0">IF(VALUE(SUBSTITUTE(B3,"$",""))&lt;=50,"$0-$50","&gt; $50")</f>
        <v>&gt; $50</v>
      </c>
    </row>
    <row r="4" spans="1:5" x14ac:dyDescent="0.35">
      <c r="A4" s="2" t="s">
        <v>13</v>
      </c>
      <c r="B4" s="3" t="s">
        <v>398</v>
      </c>
      <c r="C4" s="3" t="s">
        <v>758</v>
      </c>
      <c r="D4" s="3">
        <v>8208315257</v>
      </c>
      <c r="E4" t="str">
        <f t="shared" si="0"/>
        <v>$0-$50</v>
      </c>
    </row>
    <row r="5" spans="1:5" x14ac:dyDescent="0.35">
      <c r="A5" s="4" t="s">
        <v>11</v>
      </c>
      <c r="B5" s="5" t="s">
        <v>396</v>
      </c>
      <c r="C5" s="5" t="s">
        <v>756</v>
      </c>
      <c r="D5" s="5">
        <v>1497928447</v>
      </c>
      <c r="E5" t="str">
        <f t="shared" si="0"/>
        <v>&gt; $50</v>
      </c>
    </row>
    <row r="6" spans="1:5" x14ac:dyDescent="0.35">
      <c r="A6" s="2" t="s">
        <v>15</v>
      </c>
      <c r="B6" s="3" t="s">
        <v>400</v>
      </c>
      <c r="C6" s="3" t="s">
        <v>760</v>
      </c>
      <c r="D6" s="3">
        <v>781433558</v>
      </c>
      <c r="E6" t="str">
        <f t="shared" si="0"/>
        <v>$0-$50</v>
      </c>
    </row>
    <row r="7" spans="1:5" x14ac:dyDescent="0.35">
      <c r="A7" s="4" t="s">
        <v>16</v>
      </c>
      <c r="B7" s="5" t="s">
        <v>401</v>
      </c>
      <c r="C7" s="5" t="s">
        <v>761</v>
      </c>
      <c r="D7" s="5">
        <v>539447597</v>
      </c>
      <c r="E7" t="str">
        <f t="shared" si="0"/>
        <v>$0-$50</v>
      </c>
    </row>
    <row r="8" spans="1:5" x14ac:dyDescent="0.35">
      <c r="A8" s="2" t="s">
        <v>83</v>
      </c>
      <c r="B8" s="3" t="s">
        <v>468</v>
      </c>
      <c r="C8" s="3" t="s">
        <v>828</v>
      </c>
      <c r="D8" s="3">
        <v>40860347</v>
      </c>
      <c r="E8" t="str">
        <f t="shared" si="0"/>
        <v>$0-$50</v>
      </c>
    </row>
    <row r="9" spans="1:5" x14ac:dyDescent="0.35">
      <c r="A9" s="4" t="s">
        <v>47</v>
      </c>
      <c r="B9" s="5" t="s">
        <v>432</v>
      </c>
      <c r="C9" s="5" t="s">
        <v>792</v>
      </c>
      <c r="D9" s="5">
        <v>25758134</v>
      </c>
      <c r="E9" t="str">
        <f t="shared" si="0"/>
        <v>$0-$50</v>
      </c>
    </row>
    <row r="10" spans="1:5" x14ac:dyDescent="0.35">
      <c r="A10" s="2" t="s">
        <v>25</v>
      </c>
      <c r="B10" s="3" t="s">
        <v>410</v>
      </c>
      <c r="C10" s="3" t="s">
        <v>770</v>
      </c>
      <c r="D10" s="3">
        <v>25685731</v>
      </c>
      <c r="E10" t="str">
        <f t="shared" si="0"/>
        <v>$0-$50</v>
      </c>
    </row>
    <row r="11" spans="1:5" x14ac:dyDescent="0.35">
      <c r="A11" s="4" t="s">
        <v>62</v>
      </c>
      <c r="B11" s="5" t="s">
        <v>447</v>
      </c>
      <c r="C11" s="5" t="s">
        <v>807</v>
      </c>
      <c r="D11" s="5">
        <v>22680605</v>
      </c>
      <c r="E11" t="str">
        <f t="shared" si="0"/>
        <v>$0-$50</v>
      </c>
    </row>
    <row r="12" spans="1:5" x14ac:dyDescent="0.35">
      <c r="A12" s="2" t="s">
        <v>20</v>
      </c>
      <c r="B12" s="3" t="s">
        <v>405</v>
      </c>
      <c r="C12" s="3" t="s">
        <v>765</v>
      </c>
      <c r="D12" s="3">
        <v>14386742</v>
      </c>
      <c r="E12" t="str">
        <f t="shared" si="0"/>
        <v>$0-$50</v>
      </c>
    </row>
    <row r="13" spans="1:5" x14ac:dyDescent="0.35">
      <c r="A13" s="4" t="s">
        <v>54</v>
      </c>
      <c r="B13" s="5" t="s">
        <v>439</v>
      </c>
      <c r="C13" s="5" t="s">
        <v>799</v>
      </c>
      <c r="D13" s="5">
        <v>12716009</v>
      </c>
      <c r="E13" t="str">
        <f t="shared" si="0"/>
        <v>$0-$50</v>
      </c>
    </row>
    <row r="14" spans="1:5" x14ac:dyDescent="0.35">
      <c r="A14" s="2" t="s">
        <v>52</v>
      </c>
      <c r="B14" s="3" t="s">
        <v>437</v>
      </c>
      <c r="C14" s="3" t="s">
        <v>797</v>
      </c>
      <c r="D14" s="3">
        <v>9190572</v>
      </c>
      <c r="E14" t="str">
        <f t="shared" si="0"/>
        <v>$0-$50</v>
      </c>
    </row>
    <row r="15" spans="1:5" x14ac:dyDescent="0.35">
      <c r="A15" s="4" t="s">
        <v>96</v>
      </c>
      <c r="B15" s="5" t="s">
        <v>481</v>
      </c>
      <c r="C15" s="5" t="s">
        <v>841</v>
      </c>
      <c r="D15" s="5">
        <v>7675089</v>
      </c>
      <c r="E15" t="str">
        <f t="shared" si="0"/>
        <v>$0-$50</v>
      </c>
    </row>
    <row r="16" spans="1:5" x14ac:dyDescent="0.35">
      <c r="A16" s="2" t="s">
        <v>53</v>
      </c>
      <c r="B16" s="3" t="s">
        <v>438</v>
      </c>
      <c r="C16" s="3" t="s">
        <v>798</v>
      </c>
      <c r="D16" s="3">
        <v>7399528</v>
      </c>
      <c r="E16" t="str">
        <f t="shared" si="0"/>
        <v>$0-$50</v>
      </c>
    </row>
    <row r="17" spans="1:5" x14ac:dyDescent="0.35">
      <c r="A17" s="4" t="s">
        <v>31</v>
      </c>
      <c r="B17" s="5" t="s">
        <v>416</v>
      </c>
      <c r="C17" s="5" t="s">
        <v>776</v>
      </c>
      <c r="D17" s="5">
        <v>6754108</v>
      </c>
      <c r="E17" t="str">
        <f t="shared" si="0"/>
        <v>$0-$50</v>
      </c>
    </row>
    <row r="18" spans="1:5" x14ac:dyDescent="0.35">
      <c r="A18" s="2" t="s">
        <v>40</v>
      </c>
      <c r="B18" s="3" t="s">
        <v>425</v>
      </c>
      <c r="C18" s="3" t="s">
        <v>785</v>
      </c>
      <c r="D18" s="3">
        <v>5574946</v>
      </c>
      <c r="E18" t="str">
        <f t="shared" si="0"/>
        <v>$0-$50</v>
      </c>
    </row>
    <row r="19" spans="1:5" x14ac:dyDescent="0.35">
      <c r="A19" s="4" t="s">
        <v>69</v>
      </c>
      <c r="B19" s="5" t="s">
        <v>454</v>
      </c>
      <c r="C19" s="5" t="s">
        <v>814</v>
      </c>
      <c r="D19" s="5">
        <v>5008504</v>
      </c>
      <c r="E19" t="str">
        <f t="shared" si="0"/>
        <v>$0-$50</v>
      </c>
    </row>
    <row r="20" spans="1:5" x14ac:dyDescent="0.35">
      <c r="A20" s="2" t="s">
        <v>37</v>
      </c>
      <c r="B20" s="3" t="s">
        <v>422</v>
      </c>
      <c r="C20" s="3" t="s">
        <v>782</v>
      </c>
      <c r="D20" s="3">
        <v>4884866</v>
      </c>
      <c r="E20" t="str">
        <f t="shared" si="0"/>
        <v>$0-$50</v>
      </c>
    </row>
    <row r="21" spans="1:5" x14ac:dyDescent="0.35">
      <c r="A21" s="4" t="s">
        <v>85</v>
      </c>
      <c r="B21" s="5" t="s">
        <v>470</v>
      </c>
      <c r="C21" s="5" t="s">
        <v>830</v>
      </c>
      <c r="D21" s="5">
        <v>3675488</v>
      </c>
      <c r="E21" t="str">
        <f t="shared" si="0"/>
        <v>$0-$50</v>
      </c>
    </row>
    <row r="22" spans="1:5" x14ac:dyDescent="0.35">
      <c r="A22" s="2" t="s">
        <v>101</v>
      </c>
      <c r="B22" s="3" t="s">
        <v>486</v>
      </c>
      <c r="C22" s="3" t="s">
        <v>846</v>
      </c>
      <c r="D22" s="3">
        <v>3645223</v>
      </c>
      <c r="E22" t="str">
        <f t="shared" si="0"/>
        <v>$0-$50</v>
      </c>
    </row>
    <row r="23" spans="1:5" x14ac:dyDescent="0.35">
      <c r="A23" s="4" t="s">
        <v>73</v>
      </c>
      <c r="B23" s="5" t="s">
        <v>458</v>
      </c>
      <c r="C23" s="5" t="s">
        <v>818</v>
      </c>
      <c r="D23" s="5">
        <v>2914375</v>
      </c>
      <c r="E23" t="str">
        <f t="shared" si="0"/>
        <v>$0-$50</v>
      </c>
    </row>
    <row r="24" spans="1:5" x14ac:dyDescent="0.35">
      <c r="A24" s="2" t="s">
        <v>105</v>
      </c>
      <c r="B24" s="3" t="s">
        <v>490</v>
      </c>
      <c r="C24" s="3" t="s">
        <v>850</v>
      </c>
      <c r="D24" s="3">
        <v>2771456</v>
      </c>
      <c r="E24" t="str">
        <f t="shared" si="0"/>
        <v>$0-$50</v>
      </c>
    </row>
    <row r="25" spans="1:5" x14ac:dyDescent="0.35">
      <c r="A25" s="4" t="s">
        <v>95</v>
      </c>
      <c r="B25" s="5" t="s">
        <v>480</v>
      </c>
      <c r="C25" s="5" t="s">
        <v>840</v>
      </c>
      <c r="D25" s="5">
        <v>2760725</v>
      </c>
      <c r="E25" t="str">
        <f t="shared" si="0"/>
        <v>$0-$50</v>
      </c>
    </row>
    <row r="26" spans="1:5" x14ac:dyDescent="0.35">
      <c r="A26" s="2" t="s">
        <v>136</v>
      </c>
      <c r="B26" s="3" t="s">
        <v>521</v>
      </c>
      <c r="C26" s="3" t="s">
        <v>879</v>
      </c>
      <c r="D26" s="3">
        <v>2431321</v>
      </c>
      <c r="E26" t="str">
        <f t="shared" si="0"/>
        <v>$0-$50</v>
      </c>
    </row>
    <row r="27" spans="1:5" x14ac:dyDescent="0.35">
      <c r="A27" s="4" t="s">
        <v>32</v>
      </c>
      <c r="B27" s="5" t="s">
        <v>417</v>
      </c>
      <c r="C27" s="5" t="s">
        <v>777</v>
      </c>
      <c r="D27" s="5">
        <v>2293702</v>
      </c>
      <c r="E27" t="str">
        <f t="shared" si="0"/>
        <v>$0-$50</v>
      </c>
    </row>
    <row r="28" spans="1:5" x14ac:dyDescent="0.35">
      <c r="A28" s="2" t="s">
        <v>84</v>
      </c>
      <c r="B28" s="3" t="s">
        <v>469</v>
      </c>
      <c r="C28" s="3" t="s">
        <v>829</v>
      </c>
      <c r="D28" s="3">
        <v>2231412</v>
      </c>
      <c r="E28" t="str">
        <f t="shared" si="0"/>
        <v>$0-$50</v>
      </c>
    </row>
    <row r="29" spans="1:5" x14ac:dyDescent="0.35">
      <c r="A29" s="4" t="s">
        <v>104</v>
      </c>
      <c r="B29" s="5" t="s">
        <v>489</v>
      </c>
      <c r="C29" s="5" t="s">
        <v>849</v>
      </c>
      <c r="D29" s="5">
        <v>1739142</v>
      </c>
      <c r="E29" t="str">
        <f t="shared" si="0"/>
        <v>$0-$50</v>
      </c>
    </row>
    <row r="30" spans="1:5" x14ac:dyDescent="0.35">
      <c r="A30" s="2" t="s">
        <v>115</v>
      </c>
      <c r="B30" s="3" t="s">
        <v>500</v>
      </c>
      <c r="C30" s="3" t="s">
        <v>860</v>
      </c>
      <c r="D30" s="3">
        <v>1737116</v>
      </c>
      <c r="E30" t="str">
        <f t="shared" si="0"/>
        <v>$0-$50</v>
      </c>
    </row>
    <row r="31" spans="1:5" x14ac:dyDescent="0.35">
      <c r="A31" s="4" t="s">
        <v>70</v>
      </c>
      <c r="B31" s="5" t="s">
        <v>455</v>
      </c>
      <c r="C31" s="5" t="s">
        <v>815</v>
      </c>
      <c r="D31" s="5">
        <v>1669915</v>
      </c>
      <c r="E31" t="str">
        <f t="shared" si="0"/>
        <v>$0-$50</v>
      </c>
    </row>
    <row r="32" spans="1:5" x14ac:dyDescent="0.35">
      <c r="A32" s="2" t="s">
        <v>190</v>
      </c>
      <c r="B32" s="3" t="s">
        <v>575</v>
      </c>
      <c r="C32" s="3" t="s">
        <v>931</v>
      </c>
      <c r="D32" s="3">
        <v>1660204</v>
      </c>
      <c r="E32" t="str">
        <f t="shared" si="0"/>
        <v>$0-$50</v>
      </c>
    </row>
    <row r="33" spans="1:5" x14ac:dyDescent="0.35">
      <c r="A33" s="4" t="s">
        <v>103</v>
      </c>
      <c r="B33" s="5" t="s">
        <v>488</v>
      </c>
      <c r="C33" s="5" t="s">
        <v>848</v>
      </c>
      <c r="D33" s="5">
        <v>1639272</v>
      </c>
      <c r="E33" t="str">
        <f t="shared" si="0"/>
        <v>&gt; $50</v>
      </c>
    </row>
    <row r="34" spans="1:5" x14ac:dyDescent="0.35">
      <c r="A34" s="2" t="s">
        <v>63</v>
      </c>
      <c r="B34" s="3" t="s">
        <v>448</v>
      </c>
      <c r="C34" s="3" t="s">
        <v>808</v>
      </c>
      <c r="D34" s="3">
        <v>1414981</v>
      </c>
      <c r="E34" t="str">
        <f t="shared" si="0"/>
        <v>$0-$50</v>
      </c>
    </row>
    <row r="35" spans="1:5" x14ac:dyDescent="0.35">
      <c r="A35" s="4" t="s">
        <v>114</v>
      </c>
      <c r="B35" s="5" t="s">
        <v>499</v>
      </c>
      <c r="C35" s="5" t="s">
        <v>859</v>
      </c>
      <c r="D35" s="5">
        <v>1407422</v>
      </c>
      <c r="E35" t="str">
        <f t="shared" si="0"/>
        <v>$0-$50</v>
      </c>
    </row>
    <row r="36" spans="1:5" x14ac:dyDescent="0.35">
      <c r="A36" s="2" t="s">
        <v>51</v>
      </c>
      <c r="B36" s="3" t="s">
        <v>436</v>
      </c>
      <c r="C36" s="3" t="s">
        <v>796</v>
      </c>
      <c r="D36" s="3">
        <v>1356568</v>
      </c>
      <c r="E36" t="str">
        <f t="shared" si="0"/>
        <v>$0-$50</v>
      </c>
    </row>
    <row r="37" spans="1:5" x14ac:dyDescent="0.35">
      <c r="A37" s="4" t="s">
        <v>200</v>
      </c>
      <c r="B37" s="5" t="s">
        <v>585</v>
      </c>
      <c r="C37" s="5" t="s">
        <v>939</v>
      </c>
      <c r="D37" s="5">
        <v>1332029</v>
      </c>
      <c r="E37" t="str">
        <f t="shared" si="0"/>
        <v>$0-$50</v>
      </c>
    </row>
    <row r="38" spans="1:5" x14ac:dyDescent="0.35">
      <c r="A38" s="2" t="s">
        <v>121</v>
      </c>
      <c r="B38" s="3" t="s">
        <v>506</v>
      </c>
      <c r="C38" s="3" t="s">
        <v>866</v>
      </c>
      <c r="D38" s="3">
        <v>1315522</v>
      </c>
      <c r="E38" t="str">
        <f t="shared" si="0"/>
        <v>$0-$50</v>
      </c>
    </row>
    <row r="39" spans="1:5" x14ac:dyDescent="0.35">
      <c r="A39" s="4" t="s">
        <v>44</v>
      </c>
      <c r="B39" s="5" t="s">
        <v>429</v>
      </c>
      <c r="C39" s="5" t="s">
        <v>789</v>
      </c>
      <c r="D39" s="5">
        <v>1068402</v>
      </c>
      <c r="E39" t="str">
        <f t="shared" si="0"/>
        <v>$0-$50</v>
      </c>
    </row>
    <row r="40" spans="1:5" x14ac:dyDescent="0.35">
      <c r="A40" s="2" t="s">
        <v>91</v>
      </c>
      <c r="B40" s="3" t="s">
        <v>476</v>
      </c>
      <c r="C40" s="3" t="s">
        <v>836</v>
      </c>
      <c r="D40" s="3">
        <v>999710</v>
      </c>
      <c r="E40" t="str">
        <f t="shared" si="0"/>
        <v>$0-$50</v>
      </c>
    </row>
    <row r="41" spans="1:5" x14ac:dyDescent="0.35">
      <c r="A41" s="4" t="s">
        <v>138</v>
      </c>
      <c r="B41" s="5" t="s">
        <v>523</v>
      </c>
      <c r="C41" s="5" t="s">
        <v>881</v>
      </c>
      <c r="D41" s="5">
        <v>955799</v>
      </c>
      <c r="E41" t="str">
        <f t="shared" si="0"/>
        <v>$0-$50</v>
      </c>
    </row>
    <row r="42" spans="1:5" x14ac:dyDescent="0.35">
      <c r="A42" s="2" t="s">
        <v>72</v>
      </c>
      <c r="B42" s="3" t="s">
        <v>457</v>
      </c>
      <c r="C42" s="3" t="s">
        <v>817</v>
      </c>
      <c r="D42" s="3">
        <v>867656</v>
      </c>
      <c r="E42" t="str">
        <f t="shared" si="0"/>
        <v>$0-$50</v>
      </c>
    </row>
    <row r="43" spans="1:5" x14ac:dyDescent="0.35">
      <c r="A43" s="4" t="s">
        <v>184</v>
      </c>
      <c r="B43" s="5" t="s">
        <v>569</v>
      </c>
      <c r="C43" s="5" t="s">
        <v>925</v>
      </c>
      <c r="D43" s="5">
        <v>858809</v>
      </c>
      <c r="E43" t="str">
        <f t="shared" si="0"/>
        <v>$0-$50</v>
      </c>
    </row>
    <row r="44" spans="1:5" x14ac:dyDescent="0.35">
      <c r="A44" s="2" t="s">
        <v>59</v>
      </c>
      <c r="B44" s="3" t="s">
        <v>444</v>
      </c>
      <c r="C44" s="3" t="s">
        <v>804</v>
      </c>
      <c r="D44" s="3">
        <v>817224</v>
      </c>
      <c r="E44" t="str">
        <f t="shared" si="0"/>
        <v>$0-$50</v>
      </c>
    </row>
    <row r="45" spans="1:5" x14ac:dyDescent="0.35">
      <c r="A45" s="4" t="s">
        <v>143</v>
      </c>
      <c r="B45" s="5" t="s">
        <v>528</v>
      </c>
      <c r="C45" s="5" t="s">
        <v>886</v>
      </c>
      <c r="D45" s="5">
        <v>697351</v>
      </c>
      <c r="E45" t="str">
        <f t="shared" si="0"/>
        <v>$0-$50</v>
      </c>
    </row>
    <row r="46" spans="1:5" x14ac:dyDescent="0.35">
      <c r="A46" s="2" t="s">
        <v>110</v>
      </c>
      <c r="B46" s="3" t="s">
        <v>495</v>
      </c>
      <c r="C46" s="3" t="s">
        <v>855</v>
      </c>
      <c r="D46" s="3">
        <v>680959</v>
      </c>
      <c r="E46" t="str">
        <f t="shared" si="0"/>
        <v>$0-$50</v>
      </c>
    </row>
    <row r="47" spans="1:5" x14ac:dyDescent="0.35">
      <c r="A47" s="4" t="s">
        <v>107</v>
      </c>
      <c r="B47" s="5" t="s">
        <v>492</v>
      </c>
      <c r="C47" s="5" t="s">
        <v>852</v>
      </c>
      <c r="D47" s="5">
        <v>654812</v>
      </c>
      <c r="E47" t="str">
        <f t="shared" si="0"/>
        <v>$0-$50</v>
      </c>
    </row>
    <row r="48" spans="1:5" x14ac:dyDescent="0.35">
      <c r="A48" s="2" t="s">
        <v>116</v>
      </c>
      <c r="B48" s="3" t="s">
        <v>501</v>
      </c>
      <c r="C48" s="3" t="s">
        <v>861</v>
      </c>
      <c r="D48" s="3">
        <v>525209</v>
      </c>
      <c r="E48" t="str">
        <f t="shared" si="0"/>
        <v>&gt; $50</v>
      </c>
    </row>
    <row r="49" spans="1:5" x14ac:dyDescent="0.35">
      <c r="A49" s="4" t="s">
        <v>48</v>
      </c>
      <c r="B49" s="5" t="s">
        <v>433</v>
      </c>
      <c r="C49" s="5" t="s">
        <v>793</v>
      </c>
      <c r="D49" s="5">
        <v>522812</v>
      </c>
      <c r="E49" t="str">
        <f t="shared" si="0"/>
        <v>$0-$50</v>
      </c>
    </row>
    <row r="50" spans="1:5" x14ac:dyDescent="0.35">
      <c r="A50" s="2" t="s">
        <v>202</v>
      </c>
      <c r="B50" s="3" t="s">
        <v>587</v>
      </c>
      <c r="C50" s="3" t="s">
        <v>941</v>
      </c>
      <c r="D50" s="3">
        <v>395470</v>
      </c>
      <c r="E50" t="str">
        <f t="shared" si="0"/>
        <v>$0-$50</v>
      </c>
    </row>
    <row r="51" spans="1:5" x14ac:dyDescent="0.35">
      <c r="A51" s="4" t="s">
        <v>124</v>
      </c>
      <c r="B51" s="5" t="s">
        <v>509</v>
      </c>
      <c r="C51" s="5" t="s">
        <v>869</v>
      </c>
      <c r="D51" s="5">
        <v>351905</v>
      </c>
      <c r="E51" t="str">
        <f t="shared" si="0"/>
        <v>$0-$50</v>
      </c>
    </row>
    <row r="52" spans="1:5" x14ac:dyDescent="0.35">
      <c r="A52" s="2" t="s">
        <v>100</v>
      </c>
      <c r="B52" s="3" t="s">
        <v>485</v>
      </c>
      <c r="C52" s="3" t="s">
        <v>845</v>
      </c>
      <c r="D52" s="3">
        <v>326498</v>
      </c>
      <c r="E52" t="str">
        <f t="shared" si="0"/>
        <v>$0-$50</v>
      </c>
    </row>
    <row r="53" spans="1:5" x14ac:dyDescent="0.35">
      <c r="A53" s="4" t="s">
        <v>174</v>
      </c>
      <c r="B53" s="5" t="s">
        <v>559</v>
      </c>
      <c r="C53" s="5" t="s">
        <v>916</v>
      </c>
      <c r="D53" s="5">
        <v>274603</v>
      </c>
      <c r="E53" t="str">
        <f t="shared" si="0"/>
        <v>$0-$50</v>
      </c>
    </row>
    <row r="54" spans="1:5" x14ac:dyDescent="0.35">
      <c r="A54" s="2" t="s">
        <v>90</v>
      </c>
      <c r="B54" s="3" t="s">
        <v>475</v>
      </c>
      <c r="C54" s="3" t="s">
        <v>835</v>
      </c>
      <c r="D54" s="3">
        <v>268389</v>
      </c>
      <c r="E54" t="str">
        <f t="shared" si="0"/>
        <v>$0-$50</v>
      </c>
    </row>
    <row r="55" spans="1:5" x14ac:dyDescent="0.35">
      <c r="A55" s="4" t="s">
        <v>165</v>
      </c>
      <c r="B55" s="5" t="s">
        <v>550</v>
      </c>
      <c r="C55" s="5" t="s">
        <v>908</v>
      </c>
      <c r="D55" s="5">
        <v>239395</v>
      </c>
      <c r="E55" t="str">
        <f t="shared" si="0"/>
        <v>$0-$50</v>
      </c>
    </row>
    <row r="56" spans="1:5" x14ac:dyDescent="0.35">
      <c r="A56" s="2" t="s">
        <v>123</v>
      </c>
      <c r="B56" s="3" t="s">
        <v>508</v>
      </c>
      <c r="C56" s="3" t="s">
        <v>868</v>
      </c>
      <c r="D56" s="3">
        <v>232710</v>
      </c>
      <c r="E56" t="str">
        <f t="shared" si="0"/>
        <v>$0-$50</v>
      </c>
    </row>
    <row r="57" spans="1:5" x14ac:dyDescent="0.35">
      <c r="A57" s="4" t="s">
        <v>147</v>
      </c>
      <c r="B57" s="5" t="s">
        <v>532</v>
      </c>
      <c r="C57" s="5" t="s">
        <v>890</v>
      </c>
      <c r="D57" s="5">
        <v>193524</v>
      </c>
      <c r="E57" t="str">
        <f t="shared" si="0"/>
        <v>$0-$50</v>
      </c>
    </row>
    <row r="58" spans="1:5" x14ac:dyDescent="0.35">
      <c r="A58" s="2" t="s">
        <v>99</v>
      </c>
      <c r="B58" s="3" t="s">
        <v>484</v>
      </c>
      <c r="C58" s="3" t="s">
        <v>844</v>
      </c>
      <c r="D58" s="3">
        <v>191600</v>
      </c>
      <c r="E58" t="str">
        <f t="shared" si="0"/>
        <v>$0-$50</v>
      </c>
    </row>
    <row r="59" spans="1:5" x14ac:dyDescent="0.35">
      <c r="A59" s="4" t="s">
        <v>129</v>
      </c>
      <c r="B59" s="5" t="s">
        <v>514</v>
      </c>
      <c r="C59" s="5" t="s">
        <v>873</v>
      </c>
      <c r="D59" s="5">
        <v>191443</v>
      </c>
      <c r="E59" t="str">
        <f t="shared" si="0"/>
        <v>$0-$50</v>
      </c>
    </row>
    <row r="60" spans="1:5" x14ac:dyDescent="0.35">
      <c r="A60" s="2" t="s">
        <v>172</v>
      </c>
      <c r="B60" s="3" t="s">
        <v>557</v>
      </c>
      <c r="C60" s="3" t="s">
        <v>914</v>
      </c>
      <c r="D60" s="3">
        <v>174927</v>
      </c>
      <c r="E60" t="str">
        <f t="shared" si="0"/>
        <v>$0-$50</v>
      </c>
    </row>
    <row r="61" spans="1:5" x14ac:dyDescent="0.35">
      <c r="A61" s="4" t="s">
        <v>158</v>
      </c>
      <c r="B61" s="5" t="s">
        <v>543</v>
      </c>
      <c r="C61" s="5" t="s">
        <v>901</v>
      </c>
      <c r="D61" s="5">
        <v>157680</v>
      </c>
      <c r="E61" t="str">
        <f t="shared" si="0"/>
        <v>$0-$50</v>
      </c>
    </row>
    <row r="62" spans="1:5" x14ac:dyDescent="0.35">
      <c r="A62" s="2" t="s">
        <v>164</v>
      </c>
      <c r="B62" s="3" t="s">
        <v>549</v>
      </c>
      <c r="C62" s="3" t="s">
        <v>907</v>
      </c>
      <c r="D62" s="3">
        <v>155287</v>
      </c>
      <c r="E62" t="str">
        <f t="shared" si="0"/>
        <v>$0-$50</v>
      </c>
    </row>
    <row r="63" spans="1:5" x14ac:dyDescent="0.35">
      <c r="A63" s="4" t="s">
        <v>140</v>
      </c>
      <c r="B63" s="5" t="s">
        <v>525</v>
      </c>
      <c r="C63" s="5" t="s">
        <v>883</v>
      </c>
      <c r="D63" s="5">
        <v>153889</v>
      </c>
      <c r="E63" t="str">
        <f t="shared" si="0"/>
        <v>$0-$50</v>
      </c>
    </row>
    <row r="64" spans="1:5" x14ac:dyDescent="0.35">
      <c r="A64" s="2" t="s">
        <v>141</v>
      </c>
      <c r="B64" s="3" t="s">
        <v>526</v>
      </c>
      <c r="C64" s="3" t="s">
        <v>884</v>
      </c>
      <c r="D64" s="3">
        <v>130770</v>
      </c>
      <c r="E64" t="str">
        <f t="shared" si="0"/>
        <v>$0-$50</v>
      </c>
    </row>
    <row r="65" spans="1:5" x14ac:dyDescent="0.35">
      <c r="A65" s="4" t="s">
        <v>192</v>
      </c>
      <c r="B65" s="5" t="s">
        <v>577</v>
      </c>
      <c r="C65" s="5" t="s">
        <v>933</v>
      </c>
      <c r="D65" s="5">
        <v>119741</v>
      </c>
      <c r="E65" t="str">
        <f t="shared" si="0"/>
        <v>$0-$50</v>
      </c>
    </row>
    <row r="66" spans="1:5" x14ac:dyDescent="0.35">
      <c r="A66" s="2" t="s">
        <v>160</v>
      </c>
      <c r="B66" s="3" t="s">
        <v>545</v>
      </c>
      <c r="C66" s="3" t="s">
        <v>903</v>
      </c>
      <c r="D66" s="3">
        <v>117948</v>
      </c>
      <c r="E66" t="str">
        <f t="shared" si="0"/>
        <v>$0-$50</v>
      </c>
    </row>
    <row r="67" spans="1:5" x14ac:dyDescent="0.35">
      <c r="A67" s="4" t="s">
        <v>191</v>
      </c>
      <c r="B67" s="5" t="s">
        <v>576</v>
      </c>
      <c r="C67" s="5" t="s">
        <v>932</v>
      </c>
      <c r="D67" s="5">
        <v>115234</v>
      </c>
      <c r="E67" t="str">
        <f t="shared" ref="E67:E87" si="1">IF(VALUE(SUBSTITUTE(B67,"$",""))&lt;=50,"$0-$50","&gt; $50")</f>
        <v>$0-$50</v>
      </c>
    </row>
    <row r="68" spans="1:5" x14ac:dyDescent="0.35">
      <c r="A68" s="2" t="s">
        <v>187</v>
      </c>
      <c r="B68" s="3" t="s">
        <v>572</v>
      </c>
      <c r="C68" s="3" t="s">
        <v>928</v>
      </c>
      <c r="D68" s="3">
        <v>106039</v>
      </c>
      <c r="E68" t="str">
        <f t="shared" si="1"/>
        <v>$0-$50</v>
      </c>
    </row>
    <row r="69" spans="1:5" x14ac:dyDescent="0.35">
      <c r="A69" s="4" t="s">
        <v>146</v>
      </c>
      <c r="B69" s="5" t="s">
        <v>531</v>
      </c>
      <c r="C69" s="5" t="s">
        <v>889</v>
      </c>
      <c r="D69" s="5">
        <v>75107</v>
      </c>
      <c r="E69" t="str">
        <f t="shared" si="1"/>
        <v>$0-$50</v>
      </c>
    </row>
    <row r="70" spans="1:5" x14ac:dyDescent="0.35">
      <c r="A70" s="2" t="s">
        <v>159</v>
      </c>
      <c r="B70" s="3" t="s">
        <v>544</v>
      </c>
      <c r="C70" s="3" t="s">
        <v>902</v>
      </c>
      <c r="D70" s="3">
        <v>72433</v>
      </c>
      <c r="E70" t="str">
        <f t="shared" si="1"/>
        <v>$0-$50</v>
      </c>
    </row>
    <row r="71" spans="1:5" x14ac:dyDescent="0.35">
      <c r="A71" s="4" t="s">
        <v>175</v>
      </c>
      <c r="B71" s="5" t="s">
        <v>560</v>
      </c>
      <c r="C71" s="5" t="s">
        <v>917</v>
      </c>
      <c r="D71" s="5">
        <v>69191</v>
      </c>
      <c r="E71" t="str">
        <f t="shared" si="1"/>
        <v>$0-$50</v>
      </c>
    </row>
    <row r="72" spans="1:5" x14ac:dyDescent="0.35">
      <c r="A72" s="2" t="s">
        <v>131</v>
      </c>
      <c r="B72" s="3" t="s">
        <v>516</v>
      </c>
      <c r="C72" s="3" t="s">
        <v>875</v>
      </c>
      <c r="D72" s="3">
        <v>43739</v>
      </c>
      <c r="E72" t="str">
        <f t="shared" si="1"/>
        <v>$0-$50</v>
      </c>
    </row>
    <row r="73" spans="1:5" x14ac:dyDescent="0.35">
      <c r="A73" s="4" t="s">
        <v>176</v>
      </c>
      <c r="B73" s="5" t="s">
        <v>561</v>
      </c>
      <c r="C73" s="5" t="s">
        <v>918</v>
      </c>
      <c r="D73" s="5">
        <v>34103</v>
      </c>
      <c r="E73" t="str">
        <f t="shared" si="1"/>
        <v>$0-$50</v>
      </c>
    </row>
    <row r="74" spans="1:5" x14ac:dyDescent="0.35">
      <c r="A74" s="2" t="s">
        <v>66</v>
      </c>
      <c r="B74" s="3" t="s">
        <v>451</v>
      </c>
      <c r="C74" s="3" t="s">
        <v>811</v>
      </c>
      <c r="D74" s="3">
        <v>21125</v>
      </c>
      <c r="E74" t="str">
        <f t="shared" si="1"/>
        <v>&gt; $50</v>
      </c>
    </row>
    <row r="75" spans="1:5" x14ac:dyDescent="0.35">
      <c r="A75" s="4" t="s">
        <v>144</v>
      </c>
      <c r="B75" s="5" t="s">
        <v>529</v>
      </c>
      <c r="C75" s="5" t="s">
        <v>887</v>
      </c>
      <c r="D75" s="5">
        <v>17403</v>
      </c>
      <c r="E75" t="str">
        <f t="shared" si="1"/>
        <v>$0-$50</v>
      </c>
    </row>
    <row r="76" spans="1:5" x14ac:dyDescent="0.35">
      <c r="A76" s="2" t="s">
        <v>153</v>
      </c>
      <c r="B76" s="3" t="s">
        <v>538</v>
      </c>
      <c r="C76" s="3" t="s">
        <v>896</v>
      </c>
      <c r="D76" s="3">
        <v>14376</v>
      </c>
      <c r="E76" t="str">
        <f t="shared" si="1"/>
        <v>$0-$50</v>
      </c>
    </row>
    <row r="77" spans="1:5" x14ac:dyDescent="0.35">
      <c r="A77" s="4" t="s">
        <v>198</v>
      </c>
      <c r="B77" s="5" t="s">
        <v>583</v>
      </c>
      <c r="C77" s="5" t="s">
        <v>937</v>
      </c>
      <c r="D77" s="5">
        <v>11736</v>
      </c>
      <c r="E77" t="str">
        <f t="shared" si="1"/>
        <v>$0-$50</v>
      </c>
    </row>
    <row r="78" spans="1:5" x14ac:dyDescent="0.35">
      <c r="A78" s="2" t="s">
        <v>108</v>
      </c>
      <c r="B78" s="3" t="s">
        <v>493</v>
      </c>
      <c r="C78" s="3" t="s">
        <v>853</v>
      </c>
      <c r="D78" s="3">
        <v>3185</v>
      </c>
      <c r="E78" t="str">
        <f t="shared" si="1"/>
        <v>$0-$50</v>
      </c>
    </row>
    <row r="79" spans="1:5" x14ac:dyDescent="0.35">
      <c r="A79" s="4" t="s">
        <v>157</v>
      </c>
      <c r="B79" s="5" t="s">
        <v>542</v>
      </c>
      <c r="C79" s="5" t="s">
        <v>900</v>
      </c>
      <c r="D79" s="5">
        <v>2100</v>
      </c>
      <c r="E79" t="str">
        <f t="shared" si="1"/>
        <v>$0-$50</v>
      </c>
    </row>
    <row r="80" spans="1:5" x14ac:dyDescent="0.35">
      <c r="A80" s="2" t="s">
        <v>162</v>
      </c>
      <c r="B80" s="3" t="s">
        <v>547</v>
      </c>
      <c r="C80" s="3" t="s">
        <v>905</v>
      </c>
      <c r="D80" s="3">
        <v>1659</v>
      </c>
      <c r="E80" t="str">
        <f t="shared" si="1"/>
        <v>$0-$50</v>
      </c>
    </row>
    <row r="81" spans="1:5" x14ac:dyDescent="0.35">
      <c r="A81" s="4" t="s">
        <v>161</v>
      </c>
      <c r="B81" s="5" t="s">
        <v>546</v>
      </c>
      <c r="C81" s="5" t="s">
        <v>904</v>
      </c>
      <c r="D81" s="5">
        <v>1614</v>
      </c>
      <c r="E81" t="str">
        <f t="shared" si="1"/>
        <v>$0-$50</v>
      </c>
    </row>
    <row r="82" spans="1:5" x14ac:dyDescent="0.35">
      <c r="A82" s="2" t="s">
        <v>154</v>
      </c>
      <c r="B82" s="3" t="s">
        <v>539</v>
      </c>
      <c r="C82" s="3" t="s">
        <v>897</v>
      </c>
      <c r="D82" s="3">
        <v>658</v>
      </c>
      <c r="E82" t="str">
        <f t="shared" si="1"/>
        <v>$0-$50</v>
      </c>
    </row>
    <row r="83" spans="1:5" x14ac:dyDescent="0.35">
      <c r="A83" s="4" t="s">
        <v>173</v>
      </c>
      <c r="B83" s="5" t="s">
        <v>558</v>
      </c>
      <c r="C83" s="5" t="s">
        <v>915</v>
      </c>
      <c r="D83" s="5">
        <v>287</v>
      </c>
      <c r="E83" t="str">
        <f t="shared" si="1"/>
        <v>$0-$50</v>
      </c>
    </row>
    <row r="84" spans="1:5" x14ac:dyDescent="0.35">
      <c r="A84" s="2" t="s">
        <v>92</v>
      </c>
      <c r="B84" s="3" t="s">
        <v>477</v>
      </c>
      <c r="C84" s="3" t="s">
        <v>837</v>
      </c>
      <c r="D84" s="3">
        <v>47</v>
      </c>
      <c r="E84" t="str">
        <f t="shared" si="1"/>
        <v>$0-$50</v>
      </c>
    </row>
    <row r="85" spans="1:5" x14ac:dyDescent="0.35">
      <c r="A85" s="4" t="s">
        <v>188</v>
      </c>
      <c r="B85" s="5" t="s">
        <v>573</v>
      </c>
      <c r="C85" s="5" t="s">
        <v>929</v>
      </c>
      <c r="D85" s="5">
        <v>36</v>
      </c>
      <c r="E85" t="str">
        <f t="shared" si="1"/>
        <v>$0-$50</v>
      </c>
    </row>
    <row r="86" spans="1:5" x14ac:dyDescent="0.35">
      <c r="A86" s="2" t="s">
        <v>118</v>
      </c>
      <c r="B86" s="3" t="s">
        <v>503</v>
      </c>
      <c r="C86" s="3" t="s">
        <v>863</v>
      </c>
      <c r="D86" s="3">
        <v>0</v>
      </c>
      <c r="E86" t="str">
        <f t="shared" si="1"/>
        <v>$0-$50</v>
      </c>
    </row>
    <row r="87" spans="1:5" x14ac:dyDescent="0.35">
      <c r="A87" s="21" t="s">
        <v>195</v>
      </c>
      <c r="B87" s="22" t="s">
        <v>580</v>
      </c>
      <c r="C87" s="22" t="s">
        <v>863</v>
      </c>
      <c r="D87" s="22">
        <v>0</v>
      </c>
      <c r="E87" t="str">
        <f t="shared" si="1"/>
        <v>$0-$50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task1_dashboard</vt:lpstr>
      <vt:lpstr>Task2_Dashboard</vt:lpstr>
      <vt:lpstr>Task 3_Liquidity</vt:lpstr>
      <vt:lpstr>Task4_Price_Analysis</vt:lpstr>
      <vt:lpstr>Task5_Historical_Insights</vt:lpstr>
      <vt:lpstr>Task6_LowBudget_Insights</vt:lpstr>
      <vt:lpstr>Task3 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SAMEEKSHA DASARI</dc:creator>
  <cp:lastModifiedBy>SAMEEKSHA DASARI</cp:lastModifiedBy>
  <dcterms:created xsi:type="dcterms:W3CDTF">2025-06-20T16:30:19Z</dcterms:created>
  <dcterms:modified xsi:type="dcterms:W3CDTF">2026-06-25T04:30:03Z</dcterms:modified>
</cp:coreProperties>
</file>